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тр.1" sheetId="1" state="visible" r:id="rId3"/>
    <sheet name="стр.2" sheetId="2" state="visible" r:id="rId4"/>
  </sheets>
  <definedNames>
    <definedName function="false" hidden="false" localSheetId="0" name="_xlnm.Print_Area" vbProcedure="false">'стр.1'!$F$1:$CP$47</definedName>
    <definedName function="false" hidden="false" localSheetId="0" name="_xlnm.Print_Titles" vbProcedure="false">'стр.1'!$48:$48</definedName>
    <definedName function="false" hidden="false" name="BDate_3" vbProcedure="false">'стр.1'!$F$4:$T$4</definedName>
    <definedName function="false" hidden="false" name="BDate_35" vbProcedure="false">NA()</definedName>
    <definedName function="false" hidden="false" name="BDate_3bl" vbProcedure="false">NA()</definedName>
    <definedName function="false" hidden="false" name="BDate_3bl5" vbProcedure="false">NA()</definedName>
    <definedName function="false" hidden="false" name="DW" vbProcedure="false">NA()</definedName>
    <definedName function="false" hidden="false" name="EDate_3" vbProcedure="false">'стр.1'!$AR$4:$BP$4</definedName>
    <definedName function="false" hidden="false" name="EDate_35" vbProcedure="false">NA()</definedName>
    <definedName function="false" hidden="false" name="EDate_3bl" vbProcedure="false">NA()</definedName>
    <definedName function="false" hidden="false" name="EDate_3bl5" vbProcedure="false">NA()</definedName>
    <definedName function="false" hidden="false" name="Routes_3blank" vbProcedure="false">NA()</definedName>
    <definedName function="false" hidden="false" name="_xlfn_SINGLE" vbProcedure="false">NA()</definedName>
    <definedName function="false" hidden="false" localSheetId="0" name="Excel_BuiltIn_Print_Titles" vbProcedure="false">#REF!</definedName>
    <definedName function="false" hidden="false" localSheetId="0" name="Places" vbProcedure="false">#REF!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<sst xmlns="http://schemas.openxmlformats.org/spreadsheetml/2006/main" count="133" uniqueCount="112">
  <si>
    <t xml:space="preserve">ПУТЕВОЙ ЛИСТ ЛЕГКОВОГО АВТОМОБИЛЯ</t>
  </si>
  <si>
    <t xml:space="preserve">Прохоров Д.Д.</t>
  </si>
  <si>
    <t xml:space="preserve">«</t>
  </si>
  <si>
    <t xml:space="preserve">»</t>
  </si>
  <si>
    <t xml:space="preserve">апреля</t>
  </si>
  <si>
    <t xml:space="preserve">г.</t>
  </si>
  <si>
    <t xml:space="preserve">Срок действия</t>
  </si>
  <si>
    <t xml:space="preserve">Коды</t>
  </si>
  <si>
    <t xml:space="preserve">ООО Компания "Спутник" Не кратко, 620061, г.Екатеринбург, ул.Главная 8, 8-343-555-44-33</t>
  </si>
  <si>
    <t xml:space="preserve">Организация</t>
  </si>
  <si>
    <t xml:space="preserve">ООО «ЖБК СТАРТ», 156005, г. Кострома, ул. Кузнецкая, дом 18Б, помещение 6, тел. 8 (4942) 31-63-23, ИНН 4401082520, ОГРН 1074401011200</t>
  </si>
  <si>
    <t xml:space="preserve">Форма по:</t>
  </si>
  <si>
    <t xml:space="preserve">ОКУД</t>
  </si>
  <si>
    <t xml:space="preserve">0345001</t>
  </si>
  <si>
    <t xml:space="preserve">8-343-555-44-33</t>
  </si>
  <si>
    <t xml:space="preserve">ОКПО</t>
  </si>
  <si>
    <t xml:space="preserve">83575525</t>
  </si>
  <si>
    <t xml:space="preserve">45</t>
  </si>
  <si>
    <t xml:space="preserve">(наименование, адрес, номер телефона, ОГРН)</t>
  </si>
  <si>
    <t xml:space="preserve">ООО Компания "Спутник" Не кратко</t>
  </si>
  <si>
    <t xml:space="preserve">г.Екатеринбург</t>
  </si>
  <si>
    <t xml:space="preserve">Тип и марка автомобиля</t>
  </si>
  <si>
    <t xml:space="preserve">Легковой универсал Geely Monjaro</t>
  </si>
  <si>
    <t xml:space="preserve">620061, г.Екатеринбург, ул.Главная 8</t>
  </si>
  <si>
    <t xml:space="preserve">ул.Главная 8</t>
  </si>
  <si>
    <t xml:space="preserve">Государственный номерной знак</t>
  </si>
  <si>
    <t xml:space="preserve">О 165 ХУ 44</t>
  </si>
  <si>
    <t xml:space="preserve">Номер парковки</t>
  </si>
  <si>
    <t xml:space="preserve">Водитель</t>
  </si>
  <si>
    <t xml:space="preserve">Кулигин Никита Валерьевич</t>
  </si>
  <si>
    <t xml:space="preserve">Табельный номер</t>
  </si>
  <si>
    <t xml:space="preserve">143</t>
  </si>
  <si>
    <t xml:space="preserve">(фамилия, имя, отчество)</t>
  </si>
  <si>
    <t xml:space="preserve">Удостоверение №</t>
  </si>
  <si>
    <t xml:space="preserve">44 21 846315, выдано 30.07.2015г.</t>
  </si>
  <si>
    <t xml:space="preserve">Класс</t>
  </si>
  <si>
    <t xml:space="preserve">В, В1</t>
  </si>
  <si>
    <t xml:space="preserve">ФИО водителя</t>
  </si>
  <si>
    <t xml:space="preserve">Время и дата</t>
  </si>
  <si>
    <t xml:space="preserve">Должность</t>
  </si>
  <si>
    <t xml:space="preserve">Подпись</t>
  </si>
  <si>
    <t xml:space="preserve">Расшифровка подписи</t>
  </si>
  <si>
    <t xml:space="preserve">прошел предрейсовый и послерейсовый медицинский осмотр, к исполнению трудовых обязанностей допущен:</t>
  </si>
  <si>
    <r>
      <rPr>
        <sz val="9"/>
        <rFont val="Times New Roman"/>
        <family val="1"/>
      </rPr>
      <t xml:space="preserve">Кулигин Н.В.       </t>
    </r>
    <r>
      <rPr>
        <sz val="8"/>
        <rFont val="Times New Roman"/>
        <family val="1"/>
      </rPr>
      <t xml:space="preserve">СНИЛС 103-862-039-30</t>
    </r>
  </si>
  <si>
    <t xml:space="preserve">Сведения о виде перевозки</t>
  </si>
  <si>
    <t xml:space="preserve">Перевозка для собственных нужд организации</t>
  </si>
  <si>
    <t xml:space="preserve">Cведения о виде сообщения</t>
  </si>
  <si>
    <t xml:space="preserve">Городское и междугородное сообщение</t>
  </si>
  <si>
    <t xml:space="preserve">Задание водителю</t>
  </si>
  <si>
    <t xml:space="preserve">Показания одометра,  км</t>
  </si>
  <si>
    <t xml:space="preserve">В распоряжение</t>
  </si>
  <si>
    <t xml:space="preserve">ООО "ЖБК СТАРТ"</t>
  </si>
  <si>
    <t xml:space="preserve">(наименование организации)</t>
  </si>
  <si>
    <t xml:space="preserve">Обособленное подразделение "ЖБК СТАРТ"</t>
  </si>
  <si>
    <t xml:space="preserve">АИ-95-4</t>
  </si>
  <si>
    <t xml:space="preserve">Автомобиль в технически исправном состоянии принял</t>
  </si>
  <si>
    <t xml:space="preserve">Адрес подачи</t>
  </si>
  <si>
    <t xml:space="preserve">Кулигин Н.В.</t>
  </si>
  <si>
    <t xml:space="preserve">г.Кострома, ул.Кузнецкая, дом 18Б, пом.6</t>
  </si>
  <si>
    <t xml:space="preserve">(подпись)</t>
  </si>
  <si>
    <t xml:space="preserve">(расшифровка подписи)</t>
  </si>
  <si>
    <t xml:space="preserve">Горючее</t>
  </si>
  <si>
    <t xml:space="preserve">марка</t>
  </si>
  <si>
    <t xml:space="preserve">код</t>
  </si>
  <si>
    <t xml:space="preserve">АИ-95</t>
  </si>
  <si>
    <t xml:space="preserve">Дата, время выезда с парковки, ч. мин.</t>
  </si>
  <si>
    <t xml:space="preserve">Движение горючего</t>
  </si>
  <si>
    <t xml:space="preserve">количество, л</t>
  </si>
  <si>
    <t xml:space="preserve">Дата, время возвращения
на парковку, ч. мин.</t>
  </si>
  <si>
    <t xml:space="preserve">Выдано:</t>
  </si>
  <si>
    <t xml:space="preserve">по заправочному</t>
  </si>
  <si>
    <t xml:space="preserve">листу №</t>
  </si>
  <si>
    <t xml:space="preserve">Остаток:</t>
  </si>
  <si>
    <t xml:space="preserve">при выезде</t>
  </si>
  <si>
    <t xml:space="preserve">Опоздания, ожидания, простои в пути, заезды на парковку</t>
  </si>
  <si>
    <t xml:space="preserve">при возвращении</t>
  </si>
  <si>
    <t xml:space="preserve">и прочие отметки</t>
  </si>
  <si>
    <t xml:space="preserve">оформление документов</t>
  </si>
  <si>
    <t xml:space="preserve">Расход:</t>
  </si>
  <si>
    <t xml:space="preserve">по норме</t>
  </si>
  <si>
    <t xml:space="preserve">фактический</t>
  </si>
  <si>
    <t xml:space="preserve">Экономия</t>
  </si>
  <si>
    <t xml:space="preserve">Перерасход</t>
  </si>
  <si>
    <t xml:space="preserve">Автомобиль сдал водитель</t>
  </si>
  <si>
    <t xml:space="preserve">Показания одометра</t>
  </si>
  <si>
    <t xml:space="preserve">при возвращении на парковку, км</t>
  </si>
  <si>
    <t xml:space="preserve">М.П.</t>
  </si>
  <si>
    <t xml:space="preserve">Оборотная сторона формы </t>
  </si>
  <si>
    <t xml:space="preserve">Номер по порядку</t>
  </si>
  <si>
    <t xml:space="preserve">Место</t>
  </si>
  <si>
    <t xml:space="preserve">Время</t>
  </si>
  <si>
    <t xml:space="preserve">Пройдено,    км</t>
  </si>
  <si>
    <t xml:space="preserve">Подпись лица, пользовавшегося автомобилем</t>
  </si>
  <si>
    <t xml:space="preserve">отправления</t>
  </si>
  <si>
    <t xml:space="preserve">назначения</t>
  </si>
  <si>
    <t xml:space="preserve">выезда</t>
  </si>
  <si>
    <t xml:space="preserve">возвращения</t>
  </si>
  <si>
    <t xml:space="preserve">ч.</t>
  </si>
  <si>
    <t xml:space="preserve">мин.</t>
  </si>
  <si>
    <t xml:space="preserve">1</t>
  </si>
  <si>
    <t xml:space="preserve">г.Кострома, ул. Кузнецкая, д.18Б</t>
  </si>
  <si>
    <t xml:space="preserve">г.Ярославль, ул.Наумова, д.37/3, ООО "СЗ Фокус Групп"</t>
  </si>
  <si>
    <t xml:space="preserve">7</t>
  </si>
  <si>
    <t xml:space="preserve">10</t>
  </si>
  <si>
    <t xml:space="preserve">9</t>
  </si>
  <si>
    <t xml:space="preserve">40</t>
  </si>
  <si>
    <t xml:space="preserve">2</t>
  </si>
  <si>
    <t xml:space="preserve">12</t>
  </si>
  <si>
    <t xml:space="preserve">05</t>
  </si>
  <si>
    <t xml:space="preserve">14</t>
  </si>
  <si>
    <t xml:space="preserve">30</t>
  </si>
  <si>
    <t xml:space="preserve">пройдено, км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</si>
</sst>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 * #,##0.00&quot;р. &quot;;\-* #,##0.00&quot;р. &quot;;\ * \-#&quot;р. &quot;;\ @\ "/>
    <numFmt numFmtId="166" formatCode="@"/>
    <numFmt numFmtId="167" formatCode="dd/mm/yyyy"/>
    <numFmt numFmtId="168" formatCode="h:mm;@"/>
    <numFmt numFmtId="169" formatCode="0"/>
    <numFmt numFmtId="170" formatCode="#,##0"/>
    <numFmt numFmtId="171" formatCode="General"/>
    <numFmt numFmtId="172" formatCode="hh:mm"/>
    <numFmt numFmtId="173" formatCode="0.00"/>
  </numFmts>
  <fonts count="19">
    <font>
      <sz val="10"/>
      <name val="Arial Cyr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  <font>
      <sz val="8"/>
      <name val="Times New Roman"/>
      <family val="1"/>
    </font>
    <font>
      <sz val="6"/>
      <name val="Times New Roman"/>
      <family val="1"/>
    </font>
    <font>
      <sz val="6.5"/>
      <name val="Times New Roman"/>
      <family val="1"/>
    </font>
    <font>
      <b val="true"/>
      <sz val="9"/>
      <name val="Times New Roman"/>
      <family val="1"/>
    </font>
    <font>
      <b val="true"/>
      <sz val="10"/>
      <name val="Times New Roman"/>
      <family val="1"/>
    </font>
    <font>
      <sz val="7"/>
      <name val="Times New Roman"/>
      <family val="1"/>
    </font>
    <font>
      <sz val="8"/>
      <name val="Arial Cyr"/>
      <family val="0"/>
    </font>
    <font>
      <sz val="9"/>
      <name val="Times New Roman"/>
      <family val="1"/>
    </font>
    <font>
      <sz val="8"/>
      <color rgb="FFFF0000"/>
      <name val="Times New Roman"/>
      <family val="1"/>
    </font>
    <font>
      <sz val="10"/>
      <color rgb="FFFF0000"/>
      <name val="Arial Cyr"/>
      <family val="0"/>
    </font>
    <font>
      <b val="true"/>
      <sz val="8"/>
      <name val="Times New Roman"/>
      <family val="1"/>
    </font>
    <font>
      <sz val="7.5"/>
      <name val="Times New Roman"/>
      <family val="1"/>
    </font>
    <font>
      <b val="true"/>
      <sz val="8.5"/>
      <name val="Times New Roman"/>
      <family val="1"/>
    </font>
    <font>
      <b val="true"/>
      <sz val="5.5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5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2E3436"/>
      </bottom>
      <diagonal/>
    </border>
    <border diagonalUp="false" diagonalDown="false">
      <left/>
      <right style="thin">
        <color rgb="FF2E3436"/>
      </right>
      <top/>
      <bottom/>
      <diagonal/>
    </border>
    <border diagonalUp="false" diagonalDown="false">
      <left style="thin">
        <color rgb="FF2E3436"/>
      </left>
      <right style="thin">
        <color rgb="FF2E3436"/>
      </right>
      <top style="thin">
        <color rgb="FF2E3436"/>
      </top>
      <bottom style="medium">
        <color rgb="FF2E3436"/>
      </bottom>
      <diagonal/>
    </border>
    <border diagonalUp="false" diagonalDown="false">
      <left/>
      <right style="medium">
        <color rgb="FF2E3436"/>
      </right>
      <top/>
      <bottom/>
      <diagonal/>
    </border>
    <border diagonalUp="false" diagonalDown="false">
      <left style="medium">
        <color rgb="FF2E3436"/>
      </left>
      <right style="medium">
        <color rgb="FF2E3436"/>
      </right>
      <top style="medium">
        <color rgb="FF2E3436"/>
      </top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>
        <color rgb="FF2E3436"/>
      </top>
      <bottom/>
      <diagonal/>
    </border>
    <border diagonalUp="false" diagonalDown="false">
      <left/>
      <right/>
      <top style="thin">
        <color rgb="FF2E3436"/>
      </top>
      <bottom style="thin">
        <color rgb="FF2E3436"/>
      </bottom>
      <diagonal/>
    </border>
    <border diagonalUp="false" diagonalDown="false">
      <left style="thin">
        <color rgb="FF2E3436"/>
      </left>
      <right style="thin">
        <color rgb="FF2E3436"/>
      </right>
      <top/>
      <bottom style="thin">
        <color rgb="FF2E3436"/>
      </bottom>
      <diagonal/>
    </border>
    <border diagonalUp="false" diagonalDown="false">
      <left style="thin">
        <color rgb="FF2E3436"/>
      </left>
      <right style="thin">
        <color rgb="FF2E3436"/>
      </right>
      <top style="thin">
        <color rgb="FF2E3436"/>
      </top>
      <bottom style="thin">
        <color rgb="FF2E3436"/>
      </bottom>
      <diagonal/>
    </border>
    <border diagonalUp="false" diagonalDown="false">
      <left style="thin">
        <color rgb="FF2E3436"/>
      </left>
      <right style="thin">
        <color rgb="FF2E3436"/>
      </right>
      <top style="thin">
        <color rgb="FF2E3436"/>
      </top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>
        <color rgb="FF2E3436"/>
      </left>
      <right style="medium">
        <color rgb="FF2E3436"/>
      </right>
      <top style="medium">
        <color rgb="FF2E3436"/>
      </top>
      <bottom style="medium">
        <color rgb="FF2E3436"/>
      </bottom>
      <diagonal/>
    </border>
    <border diagonalUp="false" diagonalDown="false">
      <left/>
      <right style="double">
        <color rgb="FF2E3436"/>
      </right>
      <top/>
      <bottom/>
      <diagonal/>
    </border>
    <border diagonalUp="false" diagonalDown="false">
      <left style="double">
        <color rgb="FF2E3436"/>
      </left>
      <right style="thin">
        <color rgb="FF2E3436"/>
      </right>
      <top style="double">
        <color rgb="FF2E3436"/>
      </top>
      <bottom style="thin">
        <color rgb="FF2E3436"/>
      </bottom>
      <diagonal/>
    </border>
    <border diagonalUp="false" diagonalDown="false">
      <left style="thin">
        <color rgb="FF2E3436"/>
      </left>
      <right style="double">
        <color rgb="FF2E3436"/>
      </right>
      <top style="double">
        <color rgb="FF2E3436"/>
      </top>
      <bottom style="medium">
        <color rgb="FF2E3436"/>
      </bottom>
      <diagonal/>
    </border>
    <border diagonalUp="false" diagonalDown="false">
      <left style="double">
        <color rgb="FF2E3436"/>
      </left>
      <right style="medium">
        <color rgb="FF2E3436"/>
      </right>
      <top style="thin">
        <color rgb="FF2E3436"/>
      </top>
      <bottom style="thin">
        <color rgb="FF2E3436"/>
      </bottom>
      <diagonal/>
    </border>
    <border diagonalUp="false" diagonalDown="false">
      <left style="medium">
        <color rgb="FF2E3436"/>
      </left>
      <right style="medium">
        <color rgb="FF2E3436"/>
      </right>
      <top style="medium">
        <color rgb="FF2E3436"/>
      </top>
      <bottom style="thin">
        <color rgb="FF2E3436"/>
      </bottom>
      <diagonal/>
    </border>
    <border diagonalUp="false" diagonalDown="false">
      <left style="medium">
        <color rgb="FF2E3436"/>
      </left>
      <right style="medium">
        <color rgb="FF2E3436"/>
      </right>
      <top/>
      <bottom style="medium">
        <color rgb="FF2E3436"/>
      </bottom>
      <diagonal/>
    </border>
    <border diagonalUp="false" diagonalDown="false">
      <left style="double">
        <color rgb="FF2E3436"/>
      </left>
      <right style="medium">
        <color rgb="FF2E3436"/>
      </right>
      <top/>
      <bottom style="double">
        <color rgb="FF2E3436"/>
      </bottom>
      <diagonal/>
    </border>
    <border diagonalUp="false" diagonalDown="false">
      <left style="medium">
        <color rgb="FF2E3436"/>
      </left>
      <right style="thin">
        <color rgb="FF2E3436"/>
      </right>
      <top style="thin">
        <color rgb="FF2E3436"/>
      </top>
      <bottom style="thin">
        <color rgb="FF2E3436"/>
      </bottom>
      <diagonal/>
    </border>
    <border diagonalUp="false" diagonalDown="false">
      <left style="thin">
        <color rgb="FF2E3436"/>
      </left>
      <right style="medium">
        <color rgb="FF2E3436"/>
      </right>
      <top style="thin">
        <color rgb="FF2E3436"/>
      </top>
      <bottom style="thin">
        <color rgb="FF2E3436"/>
      </bottom>
      <diagonal/>
    </border>
    <border diagonalUp="false" diagonalDown="false">
      <left/>
      <right style="medium">
        <color rgb="FF2E3436"/>
      </right>
      <top/>
      <bottom style="thin">
        <color rgb="FF2E3436"/>
      </bottom>
      <diagonal/>
    </border>
    <border diagonalUp="false" diagonalDown="false">
      <left style="medium">
        <color rgb="FF2E3436"/>
      </left>
      <right style="thin">
        <color rgb="FF2E3436"/>
      </right>
      <top style="thin">
        <color rgb="FF2E3436"/>
      </top>
      <bottom style="medium">
        <color rgb="FF2E3436"/>
      </bottom>
      <diagonal/>
    </border>
    <border diagonalUp="false" diagonalDown="false">
      <left style="thin">
        <color rgb="FF2E3436"/>
      </left>
      <right style="medium">
        <color rgb="FF2E3436"/>
      </right>
      <top style="thin">
        <color rgb="FF2E3436"/>
      </top>
      <bottom style="medium">
        <color rgb="FF2E3436"/>
      </bottom>
      <diagonal/>
    </border>
    <border diagonalUp="false" diagonalDown="false">
      <left style="double"/>
      <right style="double"/>
      <top style="double"/>
      <bottom style="double"/>
      <diagonal/>
    </border>
    <border diagonalUp="false" diagonalDown="false">
      <left/>
      <right/>
      <top style="double">
        <color rgb="FF2E3436"/>
      </top>
      <bottom style="thin">
        <color rgb="FF2E3436"/>
      </bottom>
      <diagonal/>
    </border>
    <border diagonalUp="false" diagonalDown="false">
      <left style="double">
        <color rgb="FF2E3436"/>
      </left>
      <right style="double">
        <color rgb="FF2E3436"/>
      </right>
      <top style="double">
        <color rgb="FF2E3436"/>
      </top>
      <bottom style="thin">
        <color rgb="FF2E3436"/>
      </bottom>
      <diagonal/>
    </border>
    <border diagonalUp="false" diagonalDown="false">
      <left style="double">
        <color rgb="FF2E3436"/>
      </left>
      <right style="double">
        <color rgb="FF2E3436"/>
      </right>
      <top style="double">
        <color rgb="FF2E3436"/>
      </top>
      <bottom style="double">
        <color rgb="FF2E3436"/>
      </bottom>
      <diagonal/>
    </border>
    <border diagonalUp="false" diagonalDown="false">
      <left/>
      <right style="double">
        <color rgb="FF2E3436"/>
      </right>
      <top style="double">
        <color rgb="FF2E3436"/>
      </top>
      <bottom style="double">
        <color rgb="FF2E3436"/>
      </bottom>
      <diagonal/>
    </border>
    <border diagonalUp="false" diagonalDown="false">
      <left/>
      <right/>
      <top style="thin">
        <color rgb="FF2E3436"/>
      </top>
      <bottom style="double">
        <color rgb="FF2E3436"/>
      </bottom>
      <diagonal/>
    </border>
    <border diagonalUp="false" diagonalDown="false">
      <left style="thin">
        <color rgb="FF2E3436"/>
      </left>
      <right/>
      <top style="thin">
        <color rgb="FF2E3436"/>
      </top>
      <bottom style="double">
        <color rgb="FF2E3436"/>
      </bottom>
      <diagonal/>
    </border>
    <border diagonalUp="false" diagonalDown="false">
      <left style="double">
        <color rgb="FF2E3436"/>
      </left>
      <right style="thin">
        <color rgb="FF2E3436"/>
      </right>
      <top style="thin">
        <color rgb="FF2E3436"/>
      </top>
      <bottom style="thin">
        <color rgb="FF2E3436"/>
      </bottom>
      <diagonal/>
    </border>
    <border diagonalUp="false" diagonalDown="false">
      <left style="thin">
        <color rgb="FF2E3436"/>
      </left>
      <right style="double">
        <color rgb="FF2E3436"/>
      </right>
      <top style="thin">
        <color rgb="FF2E3436"/>
      </top>
      <bottom style="thin">
        <color rgb="FF2E3436"/>
      </bottom>
      <diagonal/>
    </border>
    <border diagonalUp="false" diagonalDown="false">
      <left style="double">
        <color rgb="FF2E3436"/>
      </left>
      <right style="thin">
        <color rgb="FF2E3436"/>
      </right>
      <top style="thin">
        <color rgb="FF2E3436"/>
      </top>
      <bottom style="double">
        <color rgb="FF2E3436"/>
      </bottom>
      <diagonal/>
    </border>
    <border diagonalUp="false" diagonalDown="false">
      <left style="thin">
        <color rgb="FF2E3436"/>
      </left>
      <right style="thin">
        <color rgb="FF2E3436"/>
      </right>
      <top style="thin">
        <color rgb="FF2E3436"/>
      </top>
      <bottom style="double">
        <color rgb="FF2E3436"/>
      </bottom>
      <diagonal/>
    </border>
    <border diagonalUp="false" diagonalDown="false">
      <left style="thin">
        <color rgb="FF2E3436"/>
      </left>
      <right style="double">
        <color rgb="FF2E3436"/>
      </right>
      <top style="thin">
        <color rgb="FF2E3436"/>
      </top>
      <bottom style="double">
        <color rgb="FF2E3436"/>
      </bottom>
      <diagonal/>
    </border>
    <border diagonalUp="false" diagonalDown="false">
      <left style="double"/>
      <right style="double"/>
      <top style="double"/>
      <bottom style="thin"/>
      <diagonal/>
    </border>
    <border diagonalUp="false" diagonalDown="false">
      <left/>
      <right style="thin">
        <color rgb="FF2E3436"/>
      </right>
      <top style="double">
        <color rgb="FF2E3436"/>
      </top>
      <bottom style="thin">
        <color rgb="FF2E3436"/>
      </bottom>
      <diagonal/>
    </border>
    <border diagonalUp="false" diagonalDown="false">
      <left style="thin">
        <color rgb="FF2E3436"/>
      </left>
      <right/>
      <top style="double">
        <color rgb="FF2E3436"/>
      </top>
      <bottom style="thin">
        <color rgb="FF2E3436"/>
      </bottom>
      <diagonal/>
    </border>
    <border diagonalUp="false" diagonalDown="false">
      <left style="thin">
        <color rgb="FF2E3436"/>
      </left>
      <right style="thin">
        <color rgb="FF2E3436"/>
      </right>
      <top style="double">
        <color rgb="FF2E3436"/>
      </top>
      <bottom style="thin">
        <color rgb="FF2E3436"/>
      </bottom>
      <diagonal/>
    </border>
    <border diagonalUp="false" diagonalDown="false">
      <left style="thin">
        <color rgb="FF2E3436"/>
      </left>
      <right style="double">
        <color rgb="FF2E3436"/>
      </right>
      <top style="double">
        <color rgb="FF2E3436"/>
      </top>
      <bottom style="thin">
        <color rgb="FF2E3436"/>
      </bottom>
      <diagonal/>
    </border>
    <border diagonalUp="false" diagonalDown="false">
      <left/>
      <right style="double">
        <color rgb="FF2E3436"/>
      </right>
      <top style="double">
        <color rgb="FF2E3436"/>
      </top>
      <bottom style="thin">
        <color rgb="FF2E3436"/>
      </bottom>
      <diagonal/>
    </border>
    <border diagonalUp="false" diagonalDown="false">
      <left style="double"/>
      <right style="double"/>
      <top style="thin"/>
      <bottom style="thin"/>
      <diagonal/>
    </border>
    <border diagonalUp="false" diagonalDown="false">
      <left/>
      <right style="thin">
        <color rgb="FF2E3436"/>
      </right>
      <top style="thin">
        <color rgb="FF2E3436"/>
      </top>
      <bottom style="thin">
        <color rgb="FF2E3436"/>
      </bottom>
      <diagonal/>
    </border>
    <border diagonalUp="false" diagonalDown="false">
      <left style="thin">
        <color rgb="FF2E3436"/>
      </left>
      <right/>
      <top style="thin">
        <color rgb="FF2E3436"/>
      </top>
      <bottom style="thin">
        <color rgb="FF2E3436"/>
      </bottom>
      <diagonal/>
    </border>
    <border diagonalUp="false" diagonalDown="false">
      <left style="double">
        <color rgb="FF2E3436"/>
      </left>
      <right style="double">
        <color rgb="FF2E3436"/>
      </right>
      <top style="thin">
        <color rgb="FF2E3436"/>
      </top>
      <bottom style="thin">
        <color rgb="FF2E3436"/>
      </bottom>
      <diagonal/>
    </border>
    <border diagonalUp="false" diagonalDown="false">
      <left/>
      <right style="double">
        <color rgb="FF2E3436"/>
      </right>
      <top style="thin">
        <color rgb="FF2E3436"/>
      </top>
      <bottom style="thin">
        <color rgb="FF2E3436"/>
      </bottom>
      <diagonal/>
    </border>
    <border diagonalUp="false" diagonalDown="false">
      <left style="double"/>
      <right style="double"/>
      <top style="thin"/>
      <bottom style="double"/>
      <diagonal/>
    </border>
    <border diagonalUp="false" diagonalDown="false">
      <left/>
      <right style="thin">
        <color rgb="FF2E3436"/>
      </right>
      <top style="thin">
        <color rgb="FF2E3436"/>
      </top>
      <bottom style="double">
        <color rgb="FF2E3436"/>
      </bottom>
      <diagonal/>
    </border>
    <border diagonalUp="false" diagonalDown="false">
      <left style="double">
        <color rgb="FF2E3436"/>
      </left>
      <right style="double">
        <color rgb="FF2E3436"/>
      </right>
      <top style="thin">
        <color rgb="FF2E3436"/>
      </top>
      <bottom style="double">
        <color rgb="FF2E3436"/>
      </bottom>
      <diagonal/>
    </border>
    <border diagonalUp="false" diagonalDown="false">
      <left/>
      <right style="double">
        <color rgb="FF2E3436"/>
      </right>
      <top style="thin">
        <color rgb="FF2E3436"/>
      </top>
      <bottom style="double">
        <color rgb="FF2E3436"/>
      </bottom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</cellStyleXfs>
  <cellXfs count="20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5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5" fillId="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12" fillId="0" borderId="4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12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12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7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5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5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6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12" fillId="0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5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6" fontId="5" fillId="2" borderId="1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6" fontId="13" fillId="2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6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2" borderId="0" xfId="0" applyFont="false" applyBorder="true" applyAlignment="true" applyProtection="false">
      <alignment horizontal="left" vertical="bottom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2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5" fillId="0" borderId="0" xfId="0" applyFont="true" applyBorder="true" applyAlignment="true" applyProtection="false">
      <alignment horizontal="center" vertical="bottom" textRotation="0" wrapText="false" indent="0" shrinkToFit="true"/>
      <protection locked="true" hidden="false"/>
    </xf>
    <xf numFmtId="166" fontId="1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6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2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true" applyAlignment="true" applyProtection="false">
      <alignment horizontal="left" vertical="bottom" textRotation="0" wrapText="false" indent="0" shrinkToFit="true"/>
      <protection locked="true" hidden="false"/>
    </xf>
    <xf numFmtId="166" fontId="11" fillId="2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71" fontId="1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1" fontId="1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12" fillId="2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10" fillId="0" borderId="20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2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12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6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true"/>
      <protection locked="true" hidden="false"/>
    </xf>
    <xf numFmtId="166" fontId="6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6" fontId="18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6" fontId="5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7" fontId="10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2" fillId="0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2" fillId="0" borderId="2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0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2" fillId="0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12" fillId="0" borderId="2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24" xfId="22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12" fillId="0" borderId="2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73" fontId="12" fillId="0" borderId="2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0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12" fillId="0" borderId="2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7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7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12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3" fontId="12" fillId="0" borderId="25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73" fontId="12" fillId="0" borderId="2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5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2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0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2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3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3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3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3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3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3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3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4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4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4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4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4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4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10" fillId="0" borderId="4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10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3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4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5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5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10" fillId="0" borderId="3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10" fillId="0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5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5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5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urrency 2" xfId="20"/>
    <cellStyle name="Currency 3" xfId="21"/>
    <cellStyle name="Денежный 2" xfId="22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E34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W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0.70703125" defaultRowHeight="12.75" zeroHeight="false" outlineLevelRow="0" outlineLevelCol="0"/>
  <cols>
    <col collapsed="false" customWidth="true" hidden="true" outlineLevel="0" max="1" min="1" style="1" width="24.99"/>
    <col collapsed="false" customWidth="true" hidden="true" outlineLevel="0" max="3" min="2" style="1" width="25.41"/>
    <col collapsed="false" customWidth="true" hidden="true" outlineLevel="0" max="4" min="4" style="1" width="13.28"/>
    <col collapsed="false" customWidth="true" hidden="true" outlineLevel="0" max="5" min="5" style="1" width="4.85"/>
    <col collapsed="false" customWidth="false" hidden="false" outlineLevel="0" max="6" min="6" style="1" width="0.7"/>
    <col collapsed="false" customWidth="true" hidden="false" outlineLevel="0" max="8" min="7" style="1" width="0.56"/>
    <col collapsed="false" customWidth="true" hidden="false" outlineLevel="0" max="9" min="9" style="1" width="1.13"/>
    <col collapsed="false" customWidth="true" hidden="false" outlineLevel="0" max="10" min="10" style="1" width="0.56"/>
    <col collapsed="false" customWidth="false" hidden="false" outlineLevel="0" max="13" min="11" style="1" width="0.7"/>
    <col collapsed="false" customWidth="true" hidden="false" outlineLevel="0" max="14" min="14" style="1" width="1.99"/>
    <col collapsed="false" customWidth="false" hidden="false" outlineLevel="0" max="21" min="15" style="1" width="0.7"/>
    <col collapsed="false" customWidth="true" hidden="false" outlineLevel="0" max="22" min="22" style="1" width="0.28"/>
    <col collapsed="false" customWidth="true" hidden="false" outlineLevel="0" max="23" min="23" style="1" width="1.56"/>
    <col collapsed="false" customWidth="false" hidden="false" outlineLevel="0" max="32" min="24" style="1" width="0.7"/>
    <col collapsed="false" customWidth="true" hidden="false" outlineLevel="0" max="33" min="33" style="1" width="0.85"/>
    <col collapsed="false" customWidth="false" hidden="false" outlineLevel="0" max="49" min="34" style="1" width="0.7"/>
    <col collapsed="false" customWidth="true" hidden="false" outlineLevel="0" max="50" min="50" style="1" width="0.85"/>
    <col collapsed="false" customWidth="false" hidden="false" outlineLevel="0" max="53" min="51" style="1" width="0.7"/>
    <col collapsed="false" customWidth="true" hidden="false" outlineLevel="0" max="54" min="54" style="1" width="1.28"/>
    <col collapsed="false" customWidth="false" hidden="false" outlineLevel="0" max="55" min="55" style="1" width="0.7"/>
    <col collapsed="false" customWidth="true" hidden="false" outlineLevel="0" max="56" min="56" style="1" width="0.56"/>
    <col collapsed="false" customWidth="false" hidden="true" outlineLevel="0" max="57" min="57" style="1" width="0.7"/>
    <col collapsed="false" customWidth="false" hidden="false" outlineLevel="0" max="58" min="58" style="1" width="0.7"/>
    <col collapsed="false" customWidth="true" hidden="false" outlineLevel="0" max="59" min="59" style="1" width="1.28"/>
    <col collapsed="false" customWidth="false" hidden="false" outlineLevel="0" max="90" min="60" style="1" width="0.7"/>
    <col collapsed="false" customWidth="true" hidden="true" outlineLevel="0" max="91" min="91" style="1" width="9.14"/>
    <col collapsed="false" customWidth="true" hidden="false" outlineLevel="0" max="92" min="92" style="1" width="0.28"/>
    <col collapsed="false" customWidth="true" hidden="false" outlineLevel="0" max="93" min="93" style="1" width="1.13"/>
    <col collapsed="false" customWidth="true" hidden="false" outlineLevel="0" max="94" min="94" style="1" width="2.56"/>
    <col collapsed="false" customWidth="true" hidden="true" outlineLevel="0" max="97" min="95" style="1" width="8.41"/>
    <col collapsed="false" customWidth="true" hidden="true" outlineLevel="0" max="98" min="98" style="1" width="17.42"/>
    <col collapsed="false" customWidth="true" hidden="true" outlineLevel="0" max="99" min="99" style="1" width="16.28"/>
    <col collapsed="false" customWidth="true" hidden="true" outlineLevel="0" max="101" min="100" style="1" width="10.71"/>
    <col collapsed="false" customWidth="true" hidden="false" outlineLevel="0" max="140" min="102" style="1" width="0.85"/>
    <col collapsed="false" customWidth="false" hidden="false" outlineLevel="0" max="257" min="141" style="1" width="0.7"/>
  </cols>
  <sheetData>
    <row r="1" customFormat="false" ht="9.2" hidden="false" customHeight="true" outlineLevel="0" collapsed="false"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Q1" s="5"/>
      <c r="CR1" s="6"/>
      <c r="CS1" s="2"/>
      <c r="CT1" s="2"/>
      <c r="CU1" s="2"/>
    </row>
    <row r="2" customFormat="false" ht="11.25" hidden="false" customHeight="true" outlineLevel="0" collapsed="false">
      <c r="F2" s="7" t="s">
        <v>0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8"/>
      <c r="BG2" s="8"/>
      <c r="BH2" s="8"/>
      <c r="BI2" s="8"/>
      <c r="BJ2" s="8"/>
      <c r="BK2" s="8"/>
      <c r="BL2" s="8"/>
      <c r="BM2" s="8"/>
      <c r="BN2" s="8"/>
      <c r="BO2" s="9"/>
      <c r="BP2" s="9"/>
      <c r="BQ2" s="9"/>
      <c r="BR2" s="9"/>
      <c r="BS2" s="9"/>
      <c r="BT2" s="8"/>
      <c r="BU2" s="8"/>
      <c r="BV2" s="8"/>
      <c r="BW2" s="8"/>
      <c r="BX2" s="8"/>
      <c r="BY2" s="8"/>
      <c r="BZ2" s="8"/>
      <c r="CA2" s="8"/>
      <c r="CB2" s="8"/>
      <c r="CC2" s="8"/>
      <c r="CD2" s="0"/>
      <c r="CE2" s="0"/>
      <c r="CF2" s="0"/>
      <c r="CG2" s="0"/>
      <c r="CH2" s="0"/>
      <c r="CI2" s="0"/>
      <c r="CJ2" s="0"/>
      <c r="CK2" s="0"/>
      <c r="CL2" s="0"/>
      <c r="CQ2" s="5" t="n">
        <v>44209</v>
      </c>
      <c r="CR2" s="6" t="n">
        <v>0</v>
      </c>
      <c r="CS2" s="2"/>
      <c r="CT2" s="2" t="s">
        <v>1</v>
      </c>
    </row>
    <row r="3" customFormat="false" ht="10.5" hidden="false" customHeight="true" outlineLevel="0" collapsed="false">
      <c r="B3" s="10" t="n">
        <v>44209</v>
      </c>
      <c r="C3" s="10" t="n">
        <v>44209</v>
      </c>
      <c r="F3" s="0"/>
      <c r="G3" s="0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2"/>
      <c r="U3" s="13" t="s">
        <v>2</v>
      </c>
      <c r="V3" s="13"/>
      <c r="W3" s="14" t="n">
        <v>3</v>
      </c>
      <c r="X3" s="14"/>
      <c r="Y3" s="14"/>
      <c r="Z3" s="14"/>
      <c r="AA3" s="15" t="s">
        <v>3</v>
      </c>
      <c r="AB3" s="16" t="s">
        <v>4</v>
      </c>
      <c r="AC3" s="16"/>
      <c r="AD3" s="16"/>
      <c r="AE3" s="16"/>
      <c r="AF3" s="16"/>
      <c r="AG3" s="16"/>
      <c r="AH3" s="16"/>
      <c r="AI3" s="16"/>
      <c r="AJ3" s="16"/>
      <c r="AK3" s="17"/>
      <c r="AL3" s="18" t="n">
        <v>2025</v>
      </c>
      <c r="AM3" s="18"/>
      <c r="AN3" s="18"/>
      <c r="AO3" s="18"/>
      <c r="AP3" s="18"/>
      <c r="AQ3" s="19" t="s">
        <v>5</v>
      </c>
      <c r="AR3" s="19"/>
      <c r="AS3" s="20"/>
      <c r="AT3" s="13"/>
      <c r="AU3" s="13"/>
      <c r="AV3" s="13"/>
      <c r="AW3" s="20"/>
      <c r="AX3" s="21"/>
      <c r="AY3" s="17"/>
      <c r="AZ3" s="17"/>
      <c r="BA3" s="17"/>
      <c r="BB3" s="17"/>
      <c r="BC3" s="17"/>
      <c r="BD3" s="17"/>
      <c r="BE3" s="17"/>
      <c r="BF3" s="22"/>
      <c r="BG3" s="22"/>
      <c r="BH3" s="22"/>
      <c r="BI3" s="22"/>
      <c r="BJ3" s="22"/>
      <c r="BK3" s="22"/>
      <c r="BL3" s="22"/>
      <c r="BM3" s="22"/>
      <c r="BN3" s="22"/>
      <c r="BO3" s="23"/>
      <c r="BP3" s="23"/>
      <c r="BQ3" s="23"/>
      <c r="BR3" s="23"/>
      <c r="BS3" s="23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0"/>
      <c r="CE3" s="0"/>
      <c r="CF3" s="0"/>
      <c r="CG3" s="0"/>
      <c r="CH3" s="0"/>
      <c r="CI3" s="0"/>
      <c r="CJ3" s="0"/>
      <c r="CK3" s="0"/>
      <c r="CL3" s="0"/>
      <c r="CQ3" s="5"/>
      <c r="CR3" s="6"/>
      <c r="CS3" s="2"/>
      <c r="CT3" s="2"/>
    </row>
    <row r="4" customFormat="false" ht="10.5" hidden="false" customHeight="true" outlineLevel="0" collapsed="false">
      <c r="D4" s="24"/>
      <c r="E4" s="24"/>
      <c r="F4" s="25" t="s">
        <v>6</v>
      </c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15" t="s">
        <v>2</v>
      </c>
      <c r="V4" s="14" t="n">
        <v>3</v>
      </c>
      <c r="W4" s="14"/>
      <c r="X4" s="14"/>
      <c r="Y4" s="14"/>
      <c r="Z4" s="15" t="s">
        <v>3</v>
      </c>
      <c r="AA4" s="16" t="s">
        <v>4</v>
      </c>
      <c r="AB4" s="16"/>
      <c r="AC4" s="16"/>
      <c r="AD4" s="16"/>
      <c r="AE4" s="16"/>
      <c r="AF4" s="16"/>
      <c r="AG4" s="16"/>
      <c r="AH4" s="16"/>
      <c r="AI4" s="16"/>
      <c r="AJ4" s="17"/>
      <c r="AK4" s="18" t="n">
        <v>2025</v>
      </c>
      <c r="AL4" s="18"/>
      <c r="AM4" s="18"/>
      <c r="AN4" s="18"/>
      <c r="AO4" s="18"/>
      <c r="AP4" s="19" t="s">
        <v>5</v>
      </c>
      <c r="AQ4" s="19"/>
      <c r="AR4" s="19"/>
      <c r="AS4" s="19"/>
      <c r="AT4" s="19"/>
      <c r="AU4" s="19"/>
      <c r="AV4" s="14"/>
      <c r="AW4" s="14"/>
      <c r="AX4" s="14"/>
      <c r="AY4" s="19"/>
      <c r="AZ4" s="26"/>
      <c r="BA4" s="19"/>
      <c r="BB4" s="19"/>
      <c r="BC4" s="19"/>
      <c r="BD4" s="19"/>
      <c r="BE4" s="19"/>
      <c r="BF4" s="19"/>
      <c r="BG4" s="19"/>
      <c r="BH4" s="19"/>
      <c r="BI4" s="27"/>
      <c r="BJ4" s="19"/>
      <c r="BK4" s="19"/>
      <c r="BL4" s="19"/>
      <c r="BM4" s="19"/>
      <c r="BN4" s="19"/>
      <c r="BO4" s="28"/>
      <c r="BP4" s="28"/>
      <c r="BQ4" s="29"/>
      <c r="BR4" s="29"/>
      <c r="BS4" s="29"/>
      <c r="BT4" s="29"/>
      <c r="BU4" s="29"/>
      <c r="BV4" s="29"/>
      <c r="BW4" s="29"/>
      <c r="BX4" s="29"/>
      <c r="BY4" s="29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Q4" s="5"/>
      <c r="CR4" s="6"/>
      <c r="CS4" s="2"/>
      <c r="CT4" s="2"/>
      <c r="CU4" s="2"/>
    </row>
    <row r="5" customFormat="false" ht="10.5" hidden="false" customHeight="true" outlineLevel="0" collapsed="false">
      <c r="D5" s="24"/>
      <c r="E5" s="24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31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29"/>
      <c r="BP5" s="29"/>
      <c r="BQ5" s="29"/>
      <c r="BR5" s="29"/>
      <c r="BS5" s="29"/>
      <c r="BT5" s="29"/>
      <c r="BU5" s="29"/>
      <c r="BV5" s="33"/>
      <c r="BW5" s="33"/>
      <c r="BX5" s="33"/>
      <c r="BY5" s="34"/>
      <c r="BZ5" s="35" t="s">
        <v>7</v>
      </c>
      <c r="CA5" s="35"/>
      <c r="CB5" s="35"/>
      <c r="CC5" s="35"/>
      <c r="CD5" s="35"/>
      <c r="CE5" s="35"/>
      <c r="CF5" s="35"/>
      <c r="CG5" s="35"/>
      <c r="CH5" s="35"/>
      <c r="CI5" s="35"/>
      <c r="CJ5" s="35"/>
      <c r="CK5" s="35"/>
      <c r="CL5" s="35"/>
    </row>
    <row r="6" customFormat="false" ht="10.5" hidden="false" customHeight="true" outlineLevel="0" collapsed="false">
      <c r="A6" s="1" t="s">
        <v>8</v>
      </c>
      <c r="B6" s="10" t="n">
        <v>44209</v>
      </c>
      <c r="D6" s="24"/>
      <c r="E6" s="24"/>
      <c r="F6" s="36" t="s">
        <v>9</v>
      </c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2"/>
      <c r="T6" s="37" t="s">
        <v>10</v>
      </c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8" t="s">
        <v>11</v>
      </c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</row>
    <row r="7" customFormat="false" ht="10.5" hidden="false" customHeight="true" outlineLevel="0" collapsed="false">
      <c r="A7" s="1" t="n">
        <v>6699000000</v>
      </c>
      <c r="B7" s="10" t="n">
        <v>44209</v>
      </c>
      <c r="D7" s="24"/>
      <c r="E7" s="24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2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9" t="s">
        <v>12</v>
      </c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40" t="s">
        <v>13</v>
      </c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</row>
    <row r="8" customFormat="false" ht="10.5" hidden="false" customHeight="true" outlineLevel="0" collapsed="false">
      <c r="A8" s="1" t="n">
        <v>669901001</v>
      </c>
      <c r="B8" s="24" t="s">
        <v>14</v>
      </c>
      <c r="D8" s="24"/>
      <c r="E8" s="24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2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41" t="s">
        <v>15</v>
      </c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2" t="s">
        <v>16</v>
      </c>
      <c r="CA8" s="42"/>
      <c r="CB8" s="42"/>
      <c r="CC8" s="42"/>
      <c r="CD8" s="42"/>
      <c r="CE8" s="42"/>
      <c r="CF8" s="42"/>
      <c r="CG8" s="42"/>
      <c r="CH8" s="42"/>
      <c r="CI8" s="42"/>
      <c r="CJ8" s="42"/>
      <c r="CK8" s="42"/>
      <c r="CL8" s="42"/>
    </row>
    <row r="9" customFormat="false" ht="10.5" hidden="false" customHeight="true" outlineLevel="0" collapsed="false">
      <c r="A9" s="24" t="s">
        <v>17</v>
      </c>
      <c r="D9" s="24"/>
      <c r="E9" s="2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43" t="s">
        <v>18</v>
      </c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  <c r="BF9" s="43"/>
      <c r="BG9" s="43"/>
      <c r="BH9" s="43"/>
      <c r="BI9" s="43"/>
      <c r="BJ9" s="43"/>
      <c r="BK9" s="43"/>
      <c r="BL9" s="43"/>
      <c r="BM9" s="43"/>
      <c r="BN9" s="43"/>
      <c r="BO9" s="44"/>
      <c r="BP9" s="44"/>
      <c r="BQ9" s="44"/>
      <c r="BR9" s="44"/>
      <c r="BS9" s="44"/>
      <c r="BT9" s="44"/>
      <c r="BU9" s="44"/>
      <c r="BV9" s="44"/>
      <c r="BW9" s="44"/>
      <c r="BX9" s="44"/>
      <c r="BY9" s="44"/>
      <c r="BZ9" s="45"/>
      <c r="CA9" s="45"/>
      <c r="CB9" s="45"/>
      <c r="CC9" s="45"/>
      <c r="CD9" s="45"/>
      <c r="CE9" s="45"/>
      <c r="CF9" s="45"/>
      <c r="CG9" s="45"/>
      <c r="CH9" s="45"/>
      <c r="CI9" s="45"/>
      <c r="CJ9" s="45"/>
      <c r="CK9" s="45"/>
      <c r="CL9" s="45"/>
      <c r="CQ9" s="1" t="n">
        <v>0</v>
      </c>
      <c r="CR9" s="1" t="n">
        <v>1</v>
      </c>
      <c r="CS9" s="1" t="str">
        <f aca="false">IF(CQ9="","",IF(CQ9=0,"городская",IF(CQ9=1,"пригородная",IF(CQ9=2,"междугородняя",IF(CQ9=3,"международная","")))))</f>
        <v>городская</v>
      </c>
      <c r="CT9" s="1" t="str">
        <f aca="false">IF(CR9="","",IF(CR9=0,"регулярная",IF(CR9=1,"заказная",IF(CR9=2,"легковым такси",""))))</f>
        <v>заказная</v>
      </c>
    </row>
    <row r="10" customFormat="false" ht="21.75" hidden="false" customHeight="true" outlineLevel="0" collapsed="false">
      <c r="A10" s="46" t="s">
        <v>19</v>
      </c>
      <c r="B10" s="46" t="s">
        <v>20</v>
      </c>
      <c r="D10" s="24"/>
      <c r="E10" s="24"/>
      <c r="F10" s="47" t="s">
        <v>21</v>
      </c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8" t="s">
        <v>22</v>
      </c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5"/>
      <c r="CA10" s="45"/>
      <c r="CB10" s="45"/>
      <c r="CC10" s="45"/>
      <c r="CD10" s="45"/>
      <c r="CE10" s="45"/>
      <c r="CF10" s="45"/>
      <c r="CG10" s="45"/>
      <c r="CH10" s="45"/>
      <c r="CI10" s="45"/>
      <c r="CJ10" s="45"/>
      <c r="CK10" s="45"/>
      <c r="CL10" s="45"/>
    </row>
    <row r="11" customFormat="false" ht="10.5" hidden="false" customHeight="true" outlineLevel="0" collapsed="false">
      <c r="A11" s="46" t="s">
        <v>23</v>
      </c>
      <c r="B11" s="46" t="s">
        <v>24</v>
      </c>
      <c r="D11" s="24"/>
      <c r="E11" s="24"/>
      <c r="F11" s="47" t="s">
        <v>25</v>
      </c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9" t="s">
        <v>26</v>
      </c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49"/>
      <c r="BC11" s="50" t="s">
        <v>27</v>
      </c>
      <c r="BD11" s="50"/>
      <c r="BE11" s="50"/>
      <c r="BF11" s="50"/>
      <c r="BG11" s="50"/>
      <c r="BH11" s="50"/>
      <c r="BI11" s="50"/>
      <c r="BJ11" s="50"/>
      <c r="BK11" s="50"/>
      <c r="BL11" s="50"/>
      <c r="BM11" s="50"/>
      <c r="BN11" s="50"/>
      <c r="BO11" s="50"/>
      <c r="BP11" s="50"/>
      <c r="BQ11" s="50"/>
      <c r="BR11" s="50"/>
      <c r="BS11" s="50"/>
      <c r="BT11" s="50"/>
      <c r="BU11" s="51"/>
      <c r="BV11" s="51"/>
      <c r="BW11" s="51"/>
      <c r="BX11" s="51"/>
      <c r="BY11" s="51"/>
      <c r="BZ11" s="51"/>
      <c r="CA11" s="51"/>
      <c r="CB11" s="51"/>
      <c r="CC11" s="51"/>
      <c r="CD11" s="51"/>
      <c r="CE11" s="51"/>
      <c r="CF11" s="51"/>
      <c r="CG11" s="51"/>
      <c r="CH11" s="51"/>
      <c r="CI11" s="51"/>
      <c r="CJ11" s="51"/>
      <c r="CK11" s="51"/>
      <c r="CL11" s="51"/>
    </row>
    <row r="12" customFormat="false" ht="10.5" hidden="false" customHeight="true" outlineLevel="0" collapsed="false">
      <c r="D12" s="24"/>
      <c r="E12" s="24"/>
      <c r="F12" s="47" t="s">
        <v>28</v>
      </c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52" t="s">
        <v>29</v>
      </c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0" t="s">
        <v>30</v>
      </c>
      <c r="BD12" s="50"/>
      <c r="BE12" s="50"/>
      <c r="BF12" s="50"/>
      <c r="BG12" s="50"/>
      <c r="BH12" s="50"/>
      <c r="BI12" s="50"/>
      <c r="BJ12" s="50"/>
      <c r="BK12" s="50"/>
      <c r="BL12" s="50"/>
      <c r="BM12" s="50"/>
      <c r="BN12" s="50"/>
      <c r="BO12" s="50"/>
      <c r="BP12" s="50"/>
      <c r="BQ12" s="50"/>
      <c r="BR12" s="50"/>
      <c r="BS12" s="50"/>
      <c r="BT12" s="50"/>
      <c r="BU12" s="53" t="s">
        <v>31</v>
      </c>
      <c r="BV12" s="53"/>
      <c r="BW12" s="53"/>
      <c r="BX12" s="53"/>
      <c r="BY12" s="53"/>
      <c r="BZ12" s="53"/>
      <c r="CA12" s="53"/>
      <c r="CB12" s="53"/>
      <c r="CC12" s="53"/>
      <c r="CD12" s="53"/>
      <c r="CE12" s="53"/>
      <c r="CF12" s="53"/>
      <c r="CG12" s="53"/>
      <c r="CH12" s="53"/>
      <c r="CI12" s="53"/>
      <c r="CJ12" s="53"/>
      <c r="CK12" s="53"/>
      <c r="CL12" s="53"/>
    </row>
    <row r="13" customFormat="false" ht="10.5" hidden="false" customHeight="true" outlineLevel="0" collapsed="false">
      <c r="D13" s="24"/>
      <c r="E13" s="24"/>
      <c r="F13" s="2"/>
      <c r="G13" s="0"/>
      <c r="H13" s="2"/>
      <c r="I13" s="2"/>
      <c r="J13" s="2"/>
      <c r="K13" s="2"/>
      <c r="L13" s="2"/>
      <c r="M13" s="2"/>
      <c r="N13" s="2"/>
      <c r="O13" s="2"/>
      <c r="P13" s="2"/>
      <c r="Q13" s="2"/>
      <c r="R13" s="43" t="s">
        <v>32</v>
      </c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</row>
    <row r="14" customFormat="false" ht="10.5" hidden="false" customHeight="true" outlineLevel="0" collapsed="false">
      <c r="D14" s="24"/>
      <c r="E14" s="24"/>
      <c r="F14" s="52" t="s">
        <v>33</v>
      </c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4" t="s">
        <v>34</v>
      </c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4"/>
      <c r="AQ14" s="54"/>
      <c r="AR14" s="54"/>
      <c r="AS14" s="54"/>
      <c r="AT14" s="54"/>
      <c r="AU14" s="54"/>
      <c r="AV14" s="54"/>
      <c r="AW14" s="54"/>
      <c r="AX14" s="54"/>
      <c r="AY14" s="54"/>
      <c r="AZ14" s="54"/>
      <c r="BA14" s="54"/>
      <c r="BB14" s="54"/>
      <c r="BC14" s="54"/>
      <c r="BD14" s="54"/>
      <c r="BE14" s="54"/>
      <c r="BF14" s="54"/>
      <c r="BG14" s="54"/>
      <c r="BH14" s="0"/>
      <c r="BI14" s="55" t="s">
        <v>35</v>
      </c>
      <c r="BJ14" s="55"/>
      <c r="BK14" s="55"/>
      <c r="BL14" s="55"/>
      <c r="BM14" s="55"/>
      <c r="BN14" s="55"/>
      <c r="BO14" s="55"/>
      <c r="BP14" s="48" t="s">
        <v>36</v>
      </c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</row>
    <row r="15" customFormat="false" ht="10.5" hidden="false" customHeight="true" outlineLevel="0" collapsed="false">
      <c r="A15" s="56"/>
      <c r="B15" s="56"/>
      <c r="C15" s="56"/>
      <c r="D15" s="57"/>
      <c r="E15" s="57"/>
      <c r="F15" s="58" t="s">
        <v>37</v>
      </c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9" t="s">
        <v>38</v>
      </c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59"/>
      <c r="AQ15" s="59"/>
      <c r="AR15" s="59"/>
      <c r="AS15" s="58" t="s">
        <v>39</v>
      </c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58"/>
      <c r="BF15" s="58"/>
      <c r="BG15" s="58"/>
      <c r="BH15" s="58"/>
      <c r="BI15" s="59" t="s">
        <v>40</v>
      </c>
      <c r="BJ15" s="59"/>
      <c r="BK15" s="59"/>
      <c r="BL15" s="59"/>
      <c r="BM15" s="59"/>
      <c r="BN15" s="59"/>
      <c r="BO15" s="59"/>
      <c r="BP15" s="59"/>
      <c r="BQ15" s="59"/>
      <c r="BR15" s="59"/>
      <c r="BS15" s="58" t="s">
        <v>41</v>
      </c>
      <c r="BT15" s="58"/>
      <c r="BU15" s="58"/>
      <c r="BV15" s="58"/>
      <c r="BW15" s="58"/>
      <c r="BX15" s="58"/>
      <c r="BY15" s="58"/>
      <c r="BZ15" s="58"/>
      <c r="CA15" s="58"/>
      <c r="CB15" s="58"/>
      <c r="CC15" s="58"/>
      <c r="CD15" s="58"/>
      <c r="CE15" s="58"/>
      <c r="CF15" s="58"/>
      <c r="CG15" s="58"/>
      <c r="CH15" s="58"/>
      <c r="CI15" s="58"/>
      <c r="CJ15" s="58"/>
      <c r="CK15" s="58"/>
      <c r="CL15" s="58"/>
      <c r="CM15" s="60"/>
      <c r="CN15" s="60"/>
      <c r="CO15" s="60"/>
      <c r="CP15" s="60"/>
    </row>
    <row r="16" customFormat="false" ht="9.95" hidden="false" customHeight="true" outlineLevel="0" collapsed="false">
      <c r="A16" s="61" t="s">
        <v>42</v>
      </c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1"/>
      <c r="AM16" s="61"/>
      <c r="AN16" s="61"/>
      <c r="AO16" s="61"/>
      <c r="AP16" s="61"/>
      <c r="AQ16" s="61"/>
      <c r="AR16" s="61"/>
      <c r="AS16" s="61"/>
      <c r="AT16" s="61"/>
      <c r="AU16" s="61"/>
      <c r="AV16" s="61"/>
      <c r="AW16" s="61"/>
      <c r="AX16" s="61"/>
      <c r="AY16" s="61"/>
      <c r="AZ16" s="61"/>
      <c r="BA16" s="61"/>
      <c r="BB16" s="61"/>
      <c r="BC16" s="61"/>
      <c r="BD16" s="61"/>
      <c r="BE16" s="61"/>
      <c r="BF16" s="61"/>
      <c r="BG16" s="61"/>
      <c r="BH16" s="61"/>
      <c r="BI16" s="61"/>
      <c r="BJ16" s="61"/>
      <c r="BK16" s="61"/>
      <c r="BL16" s="61"/>
      <c r="BM16" s="61"/>
      <c r="BN16" s="61"/>
      <c r="BO16" s="61"/>
      <c r="BP16" s="61"/>
      <c r="BQ16" s="61"/>
      <c r="BR16" s="61"/>
      <c r="BS16" s="61"/>
      <c r="BT16" s="61"/>
      <c r="BU16" s="61"/>
      <c r="BV16" s="61"/>
      <c r="BW16" s="61"/>
      <c r="BX16" s="61"/>
      <c r="BY16" s="61"/>
      <c r="BZ16" s="61"/>
      <c r="CA16" s="61"/>
      <c r="CB16" s="61"/>
      <c r="CC16" s="61"/>
      <c r="CD16" s="61"/>
      <c r="CE16" s="61"/>
      <c r="CF16" s="61"/>
      <c r="CG16" s="61"/>
      <c r="CH16" s="61"/>
      <c r="CI16" s="61"/>
      <c r="CJ16" s="61"/>
      <c r="CK16" s="61"/>
      <c r="CL16" s="61"/>
      <c r="CM16" s="60"/>
      <c r="CN16" s="60"/>
      <c r="CO16" s="60"/>
      <c r="CP16" s="60"/>
    </row>
    <row r="17" customFormat="false" ht="45.75" hidden="false" customHeight="true" outlineLevel="0" collapsed="false">
      <c r="D17" s="24"/>
      <c r="E17" s="24"/>
      <c r="F17" s="62" t="s">
        <v>43</v>
      </c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  <c r="AS17" s="64"/>
      <c r="AT17" s="64"/>
      <c r="AU17" s="64"/>
      <c r="AV17" s="64"/>
      <c r="AW17" s="64"/>
      <c r="AX17" s="64"/>
      <c r="AY17" s="64"/>
      <c r="AZ17" s="64"/>
      <c r="BA17" s="64"/>
      <c r="BB17" s="64"/>
      <c r="BC17" s="64"/>
      <c r="BD17" s="64"/>
      <c r="BE17" s="64"/>
      <c r="BF17" s="64"/>
      <c r="BG17" s="64"/>
      <c r="BH17" s="64"/>
      <c r="BI17" s="65"/>
      <c r="BJ17" s="65"/>
      <c r="BK17" s="65"/>
      <c r="BL17" s="65"/>
      <c r="BM17" s="65"/>
      <c r="BN17" s="65"/>
      <c r="BO17" s="65"/>
      <c r="BP17" s="65"/>
      <c r="BQ17" s="65"/>
      <c r="BR17" s="65"/>
      <c r="BS17" s="66"/>
      <c r="BT17" s="66"/>
      <c r="BU17" s="66"/>
      <c r="BV17" s="66"/>
      <c r="BW17" s="66"/>
      <c r="BX17" s="66"/>
      <c r="BY17" s="66"/>
      <c r="BZ17" s="66"/>
      <c r="CA17" s="66"/>
      <c r="CB17" s="66"/>
      <c r="CC17" s="66"/>
      <c r="CD17" s="66"/>
      <c r="CE17" s="66"/>
      <c r="CF17" s="66"/>
      <c r="CG17" s="66"/>
      <c r="CH17" s="66"/>
      <c r="CI17" s="66"/>
      <c r="CJ17" s="66"/>
      <c r="CK17" s="66"/>
      <c r="CL17" s="66"/>
      <c r="CM17" s="60"/>
      <c r="CN17" s="60"/>
      <c r="CO17" s="60"/>
      <c r="CP17" s="60"/>
    </row>
    <row r="18" s="71" customFormat="true" ht="33" hidden="false" customHeight="true" outlineLevel="0" collapsed="false">
      <c r="A18" s="31"/>
      <c r="B18" s="67" t="s">
        <v>44</v>
      </c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8" t="s">
        <v>45</v>
      </c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9"/>
      <c r="AI18" s="69"/>
      <c r="AJ18" s="69"/>
      <c r="AK18" s="69"/>
      <c r="AL18" s="69"/>
      <c r="AM18" s="69"/>
      <c r="AN18" s="69"/>
      <c r="AO18" s="69"/>
      <c r="AP18" s="70"/>
      <c r="AQ18" s="70"/>
      <c r="AR18" s="70"/>
      <c r="AS18" s="70"/>
      <c r="AT18" s="67" t="s">
        <v>46</v>
      </c>
      <c r="AU18" s="67"/>
      <c r="AV18" s="67"/>
      <c r="AW18" s="67"/>
      <c r="AX18" s="67"/>
      <c r="AY18" s="67"/>
      <c r="AZ18" s="67"/>
      <c r="BA18" s="67"/>
      <c r="BB18" s="67"/>
      <c r="BC18" s="67"/>
      <c r="BD18" s="67"/>
      <c r="BE18" s="67"/>
      <c r="BF18" s="67"/>
      <c r="BG18" s="67"/>
      <c r="BH18" s="67"/>
      <c r="BI18" s="67"/>
      <c r="BJ18" s="67"/>
      <c r="BK18" s="68" t="s">
        <v>47</v>
      </c>
      <c r="BL18" s="68"/>
      <c r="BM18" s="68"/>
      <c r="BN18" s="68"/>
      <c r="BO18" s="68"/>
      <c r="BP18" s="68"/>
      <c r="BQ18" s="68"/>
      <c r="BR18" s="68"/>
      <c r="BS18" s="68"/>
      <c r="BT18" s="68"/>
      <c r="BU18" s="68"/>
      <c r="BV18" s="68"/>
      <c r="BW18" s="68"/>
      <c r="BX18" s="68"/>
      <c r="BY18" s="68"/>
      <c r="BZ18" s="68"/>
      <c r="CA18" s="68"/>
      <c r="CB18" s="68"/>
      <c r="CC18" s="68"/>
      <c r="CD18" s="68"/>
      <c r="CE18" s="68"/>
      <c r="CF18" s="68"/>
      <c r="CG18" s="68"/>
      <c r="CH18" s="68"/>
      <c r="CI18" s="68"/>
      <c r="CJ18" s="68"/>
      <c r="CK18" s="68"/>
      <c r="CL18" s="68"/>
      <c r="CM18" s="68"/>
      <c r="CN18" s="68"/>
      <c r="CO18" s="68"/>
    </row>
    <row r="19" s="71" customFormat="true" ht="7.5" hidden="false" customHeight="true" outlineLevel="0" collapsed="false">
      <c r="A19" s="31"/>
      <c r="B19" s="72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69"/>
      <c r="AI19" s="69"/>
      <c r="AJ19" s="69"/>
      <c r="AK19" s="69"/>
      <c r="AL19" s="69"/>
      <c r="AM19" s="69"/>
      <c r="AN19" s="69"/>
      <c r="AO19" s="69"/>
      <c r="AP19" s="74"/>
      <c r="AQ19" s="74"/>
      <c r="AR19" s="74"/>
      <c r="AS19" s="74"/>
      <c r="AT19" s="67"/>
      <c r="AU19" s="67"/>
      <c r="AV19" s="67"/>
      <c r="AW19" s="67"/>
      <c r="AX19" s="67"/>
      <c r="AY19" s="67"/>
      <c r="AZ19" s="67"/>
      <c r="BA19" s="67"/>
      <c r="BB19" s="67"/>
      <c r="BC19" s="75"/>
      <c r="BD19" s="75"/>
      <c r="BE19" s="75"/>
      <c r="BF19" s="75"/>
      <c r="BG19" s="75"/>
      <c r="BH19" s="75"/>
      <c r="BI19" s="75"/>
      <c r="BJ19" s="76"/>
      <c r="BK19" s="73"/>
      <c r="BL19" s="77"/>
      <c r="BM19" s="77"/>
      <c r="BN19" s="77"/>
      <c r="BO19" s="77"/>
      <c r="BP19" s="77"/>
      <c r="BQ19" s="77"/>
      <c r="BR19" s="77"/>
      <c r="BS19" s="77"/>
      <c r="BT19" s="77"/>
      <c r="BU19" s="77"/>
      <c r="BV19" s="77"/>
      <c r="BW19" s="77"/>
      <c r="BX19" s="77"/>
      <c r="BY19" s="77"/>
      <c r="BZ19" s="77"/>
      <c r="CA19" s="77"/>
      <c r="CB19" s="77"/>
      <c r="CC19" s="77"/>
      <c r="CD19" s="77"/>
      <c r="CE19" s="77"/>
      <c r="CF19" s="77"/>
      <c r="CG19" s="77"/>
      <c r="CH19" s="77"/>
      <c r="CI19" s="77"/>
      <c r="CJ19" s="77"/>
      <c r="CK19" s="77"/>
      <c r="CL19" s="77"/>
      <c r="CM19" s="77"/>
      <c r="CN19" s="77"/>
      <c r="CO19" s="77"/>
      <c r="CP19" s="78"/>
      <c r="CQ19" s="78"/>
    </row>
    <row r="20" customFormat="false" ht="10.5" hidden="false" customHeight="true" outlineLevel="0" collapsed="false">
      <c r="D20" s="24"/>
      <c r="E20" s="24"/>
      <c r="F20" s="79" t="s">
        <v>48</v>
      </c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  <c r="AG20" s="79"/>
      <c r="AH20" s="79"/>
      <c r="AI20" s="79"/>
      <c r="AJ20" s="79"/>
      <c r="AK20" s="79"/>
      <c r="AL20" s="79"/>
      <c r="AM20" s="79"/>
      <c r="AN20" s="79"/>
      <c r="AO20" s="79"/>
      <c r="AP20" s="79"/>
      <c r="AQ20" s="79"/>
      <c r="AR20" s="79"/>
      <c r="AS20" s="79"/>
      <c r="AT20" s="79"/>
      <c r="AU20" s="79"/>
      <c r="AV20" s="79"/>
      <c r="AW20" s="79"/>
      <c r="AX20" s="2"/>
      <c r="AY20" s="47" t="s">
        <v>49</v>
      </c>
      <c r="AZ20" s="47"/>
      <c r="BA20" s="47"/>
      <c r="BB20" s="47"/>
      <c r="BC20" s="47"/>
      <c r="BD20" s="47"/>
      <c r="BE20" s="47"/>
      <c r="BF20" s="47"/>
      <c r="BG20" s="47"/>
      <c r="BH20" s="47"/>
      <c r="BI20" s="47"/>
      <c r="BJ20" s="47"/>
      <c r="BK20" s="47"/>
      <c r="BL20" s="47"/>
      <c r="BM20" s="47"/>
      <c r="BN20" s="47"/>
      <c r="BO20" s="47"/>
      <c r="BP20" s="47"/>
      <c r="BQ20" s="47"/>
      <c r="BR20" s="47"/>
      <c r="BS20" s="47"/>
      <c r="BT20" s="47"/>
      <c r="BU20" s="47"/>
      <c r="BV20" s="47"/>
      <c r="BW20" s="47"/>
      <c r="BX20" s="47"/>
      <c r="BY20" s="47"/>
      <c r="BZ20" s="80" t="n">
        <v>30107</v>
      </c>
      <c r="CA20" s="80"/>
      <c r="CB20" s="80"/>
      <c r="CC20" s="80"/>
      <c r="CD20" s="80"/>
      <c r="CE20" s="80"/>
      <c r="CF20" s="80"/>
      <c r="CG20" s="80"/>
      <c r="CH20" s="80"/>
      <c r="CI20" s="80"/>
      <c r="CJ20" s="80"/>
      <c r="CK20" s="80"/>
      <c r="CL20" s="80"/>
    </row>
    <row r="21" customFormat="false" ht="10.5" hidden="false" customHeight="true" outlineLevel="0" collapsed="false">
      <c r="D21" s="24"/>
      <c r="E21" s="24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9"/>
      <c r="AE21" s="79"/>
      <c r="AF21" s="79"/>
      <c r="AG21" s="79"/>
      <c r="AH21" s="79"/>
      <c r="AI21" s="79"/>
      <c r="AJ21" s="79"/>
      <c r="AK21" s="79"/>
      <c r="AL21" s="79"/>
      <c r="AM21" s="79"/>
      <c r="AN21" s="79"/>
      <c r="AO21" s="79"/>
      <c r="AP21" s="79"/>
      <c r="AQ21" s="79"/>
      <c r="AR21" s="79"/>
      <c r="AS21" s="79"/>
      <c r="AT21" s="79"/>
      <c r="AU21" s="79"/>
      <c r="AV21" s="79"/>
      <c r="AW21" s="79"/>
      <c r="AX21" s="23"/>
      <c r="AY21" s="81"/>
      <c r="AZ21" s="81"/>
      <c r="BA21" s="81"/>
      <c r="BB21" s="81"/>
      <c r="BC21" s="81"/>
      <c r="BD21" s="81"/>
      <c r="BE21" s="81"/>
      <c r="BF21" s="81"/>
      <c r="BG21" s="81"/>
      <c r="BH21" s="81"/>
      <c r="BI21" s="69"/>
      <c r="BJ21" s="69"/>
      <c r="BK21" s="69"/>
      <c r="BL21" s="69"/>
      <c r="BM21" s="69"/>
      <c r="BN21" s="69"/>
      <c r="BO21" s="69"/>
      <c r="BP21" s="69"/>
      <c r="BQ21" s="69"/>
      <c r="BR21" s="23"/>
      <c r="BS21" s="82"/>
      <c r="BT21" s="82"/>
      <c r="BU21" s="82"/>
      <c r="BV21" s="82"/>
      <c r="BW21" s="82"/>
      <c r="BX21" s="82"/>
      <c r="BY21" s="82"/>
      <c r="BZ21" s="82"/>
      <c r="CA21" s="82"/>
      <c r="CB21" s="82"/>
      <c r="CC21" s="82"/>
      <c r="CD21" s="82"/>
      <c r="CE21" s="82"/>
      <c r="CF21" s="82"/>
      <c r="CG21" s="82"/>
      <c r="CH21" s="82"/>
      <c r="CI21" s="82"/>
      <c r="CJ21" s="82"/>
      <c r="CK21" s="82"/>
      <c r="CL21" s="82"/>
    </row>
    <row r="22" customFormat="false" ht="10.5" hidden="false" customHeight="true" outlineLevel="0" collapsed="false">
      <c r="D22" s="24"/>
      <c r="E22" s="24"/>
      <c r="F22" s="83" t="s">
        <v>50</v>
      </c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4" t="s">
        <v>51</v>
      </c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4"/>
      <c r="AQ22" s="84"/>
      <c r="AR22" s="84"/>
      <c r="AS22" s="84"/>
      <c r="AT22" s="84"/>
      <c r="AU22" s="84"/>
      <c r="AV22" s="84"/>
      <c r="AW22" s="84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2"/>
      <c r="BJ22" s="22"/>
      <c r="BK22" s="22"/>
      <c r="BL22" s="22"/>
      <c r="BM22" s="22"/>
      <c r="BN22" s="22"/>
      <c r="BO22" s="22"/>
      <c r="BP22" s="22"/>
      <c r="BQ22" s="22"/>
      <c r="BR22" s="85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</row>
    <row r="23" customFormat="false" ht="10.5" hidden="false" customHeight="true" outlineLevel="0" collapsed="false">
      <c r="D23" s="24"/>
      <c r="E23" s="24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43" t="s">
        <v>52</v>
      </c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23"/>
      <c r="AY23" s="86"/>
      <c r="AZ23" s="86"/>
      <c r="BA23" s="86"/>
      <c r="BB23" s="86"/>
      <c r="BC23" s="86"/>
      <c r="BD23" s="86"/>
      <c r="BE23" s="86"/>
      <c r="BF23" s="86"/>
      <c r="BG23" s="86"/>
      <c r="BH23" s="86"/>
      <c r="BI23" s="86"/>
      <c r="BJ23" s="86"/>
      <c r="BK23" s="86"/>
      <c r="BL23" s="86"/>
      <c r="BM23" s="86"/>
      <c r="BN23" s="86"/>
      <c r="BO23" s="86"/>
      <c r="BP23" s="86"/>
      <c r="BQ23" s="86"/>
      <c r="BR23" s="86"/>
      <c r="BS23" s="86"/>
      <c r="BT23" s="86"/>
      <c r="BU23" s="86"/>
      <c r="BV23" s="86"/>
      <c r="BW23" s="86"/>
      <c r="BX23" s="86"/>
      <c r="BY23" s="86"/>
      <c r="BZ23" s="86"/>
      <c r="CA23" s="86"/>
      <c r="CB23" s="86"/>
      <c r="CC23" s="86"/>
      <c r="CD23" s="86"/>
      <c r="CE23" s="86"/>
      <c r="CF23" s="86"/>
      <c r="CG23" s="86"/>
      <c r="CH23" s="86"/>
      <c r="CI23" s="86"/>
      <c r="CJ23" s="86"/>
      <c r="CK23" s="86"/>
      <c r="CL23" s="86"/>
    </row>
    <row r="24" customFormat="false" ht="10.5" hidden="false" customHeight="true" outlineLevel="0" collapsed="false">
      <c r="D24" s="24"/>
      <c r="E24" s="24"/>
      <c r="F24" s="84" t="s">
        <v>53</v>
      </c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4"/>
      <c r="AQ24" s="84"/>
      <c r="AR24" s="84"/>
      <c r="AS24" s="84"/>
      <c r="AT24" s="84"/>
      <c r="AU24" s="84"/>
      <c r="AV24" s="84"/>
      <c r="AW24" s="84"/>
      <c r="AX24" s="23"/>
      <c r="AY24" s="81"/>
      <c r="AZ24" s="81"/>
      <c r="BA24" s="81"/>
      <c r="BB24" s="81"/>
      <c r="BC24" s="81"/>
      <c r="BD24" s="81"/>
      <c r="BE24" s="81"/>
      <c r="BF24" s="81"/>
      <c r="BG24" s="81"/>
      <c r="BH24" s="81"/>
      <c r="BI24" s="69"/>
      <c r="BJ24" s="69"/>
      <c r="BK24" s="69"/>
      <c r="BL24" s="69"/>
      <c r="BM24" s="69"/>
      <c r="BN24" s="69"/>
      <c r="BO24" s="69"/>
      <c r="BP24" s="69"/>
      <c r="BQ24" s="69"/>
      <c r="BR24" s="23"/>
      <c r="BS24" s="82"/>
      <c r="BT24" s="82"/>
      <c r="BU24" s="82"/>
      <c r="BV24" s="82"/>
      <c r="BW24" s="82"/>
      <c r="BX24" s="82"/>
      <c r="BY24" s="82"/>
      <c r="BZ24" s="82"/>
      <c r="CA24" s="82"/>
      <c r="CB24" s="82"/>
      <c r="CC24" s="82"/>
      <c r="CD24" s="82"/>
      <c r="CE24" s="82"/>
      <c r="CF24" s="82"/>
      <c r="CG24" s="82"/>
      <c r="CH24" s="82"/>
      <c r="CI24" s="82"/>
      <c r="CJ24" s="82"/>
      <c r="CK24" s="82"/>
      <c r="CL24" s="82"/>
    </row>
    <row r="25" customFormat="false" ht="10.5" hidden="false" customHeight="true" outlineLevel="0" collapsed="false">
      <c r="D25" s="24"/>
      <c r="E25" s="24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21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2"/>
      <c r="BJ25" s="22"/>
      <c r="BK25" s="22"/>
      <c r="BL25" s="22"/>
      <c r="BM25" s="22"/>
      <c r="BN25" s="22"/>
      <c r="BO25" s="22"/>
      <c r="BP25" s="22"/>
      <c r="BQ25" s="22"/>
      <c r="BR25" s="85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</row>
    <row r="26" s="87" customFormat="true" ht="10.5" hidden="false" customHeight="true" outlineLevel="0" collapsed="false">
      <c r="B26" s="87" t="s">
        <v>54</v>
      </c>
      <c r="C26" s="88" t="s">
        <v>54</v>
      </c>
      <c r="D26" s="89"/>
      <c r="E26" s="89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1"/>
      <c r="AJ26" s="92"/>
      <c r="AK26" s="92"/>
      <c r="AL26" s="92"/>
      <c r="AM26" s="92"/>
      <c r="AN26" s="92"/>
      <c r="AO26" s="92"/>
      <c r="AP26" s="92"/>
      <c r="AQ26" s="92"/>
      <c r="AR26" s="92"/>
      <c r="AS26" s="92"/>
      <c r="AT26" s="92"/>
      <c r="AU26" s="92"/>
      <c r="AV26" s="92"/>
      <c r="AW26" s="92"/>
      <c r="AX26" s="93"/>
      <c r="AY26" s="94" t="s">
        <v>55</v>
      </c>
      <c r="AZ26" s="94"/>
      <c r="BA26" s="94"/>
      <c r="BB26" s="94"/>
      <c r="BC26" s="94"/>
      <c r="BD26" s="94"/>
      <c r="BE26" s="94"/>
      <c r="BF26" s="94"/>
      <c r="BG26" s="94"/>
      <c r="BH26" s="94"/>
      <c r="BI26" s="94"/>
      <c r="BJ26" s="94"/>
      <c r="BK26" s="94"/>
      <c r="BL26" s="94"/>
      <c r="BM26" s="94"/>
      <c r="BN26" s="94"/>
      <c r="BO26" s="94"/>
      <c r="BP26" s="94"/>
      <c r="BQ26" s="94"/>
      <c r="BR26" s="94"/>
      <c r="BS26" s="94"/>
      <c r="BT26" s="94"/>
      <c r="BU26" s="94"/>
      <c r="BV26" s="94"/>
      <c r="BW26" s="94"/>
      <c r="BX26" s="94"/>
      <c r="BY26" s="94"/>
      <c r="BZ26" s="94"/>
      <c r="CA26" s="94"/>
      <c r="CB26" s="94"/>
      <c r="CC26" s="94"/>
      <c r="CD26" s="94"/>
      <c r="CE26" s="94"/>
      <c r="CF26" s="94"/>
      <c r="CG26" s="94"/>
      <c r="CH26" s="94"/>
      <c r="CI26" s="94"/>
      <c r="CJ26" s="94"/>
      <c r="CK26" s="94"/>
      <c r="CL26" s="94"/>
    </row>
    <row r="27" s="87" customFormat="true" ht="10.5" hidden="false" customHeight="true" outlineLevel="0" collapsed="false">
      <c r="B27" s="89"/>
      <c r="C27" s="95"/>
      <c r="D27" s="89"/>
      <c r="E27" s="89"/>
      <c r="F27" s="55" t="s">
        <v>56</v>
      </c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96" t="str">
        <f aca="false">LEFT(A27,30)</f>
        <v/>
      </c>
      <c r="U27" s="96"/>
      <c r="V27" s="96"/>
      <c r="W27" s="96"/>
      <c r="X27" s="96"/>
      <c r="Y27" s="96"/>
      <c r="Z27" s="96"/>
      <c r="AA27" s="96"/>
      <c r="AB27" s="96"/>
      <c r="AC27" s="96"/>
      <c r="AD27" s="96"/>
      <c r="AE27" s="96"/>
      <c r="AF27" s="96"/>
      <c r="AG27" s="96"/>
      <c r="AH27" s="96"/>
      <c r="AI27" s="96"/>
      <c r="AJ27" s="96"/>
      <c r="AK27" s="96"/>
      <c r="AL27" s="96"/>
      <c r="AM27" s="96"/>
      <c r="AN27" s="96"/>
      <c r="AO27" s="96"/>
      <c r="AP27" s="96"/>
      <c r="AQ27" s="96"/>
      <c r="AR27" s="96"/>
      <c r="AS27" s="96"/>
      <c r="AT27" s="96"/>
      <c r="AU27" s="96"/>
      <c r="AV27" s="96"/>
      <c r="AW27" s="96"/>
      <c r="AX27" s="93"/>
      <c r="AY27" s="97" t="s">
        <v>28</v>
      </c>
      <c r="AZ27" s="97"/>
      <c r="BA27" s="97"/>
      <c r="BB27" s="97"/>
      <c r="BC27" s="97"/>
      <c r="BD27" s="97"/>
      <c r="BE27" s="97"/>
      <c r="BF27" s="97"/>
      <c r="BG27" s="97"/>
      <c r="BH27" s="97"/>
      <c r="BI27" s="97"/>
      <c r="BJ27" s="97"/>
      <c r="BK27" s="98"/>
      <c r="BL27" s="98"/>
      <c r="BM27" s="98"/>
      <c r="BN27" s="98"/>
      <c r="BO27" s="98"/>
      <c r="BP27" s="98"/>
      <c r="BQ27" s="98"/>
      <c r="BR27" s="98"/>
      <c r="BS27" s="98"/>
      <c r="BT27" s="2"/>
      <c r="BU27" s="98" t="s">
        <v>57</v>
      </c>
      <c r="BV27" s="98"/>
      <c r="BW27" s="98"/>
      <c r="BX27" s="98"/>
      <c r="BY27" s="98"/>
      <c r="BZ27" s="98"/>
      <c r="CA27" s="98"/>
      <c r="CB27" s="98"/>
      <c r="CC27" s="98"/>
      <c r="CD27" s="98"/>
      <c r="CE27" s="98"/>
      <c r="CF27" s="98"/>
      <c r="CG27" s="98"/>
      <c r="CH27" s="98"/>
      <c r="CI27" s="98"/>
      <c r="CJ27" s="98"/>
      <c r="CK27" s="98"/>
      <c r="CL27" s="98"/>
    </row>
    <row r="28" customFormat="false" ht="10.5" hidden="false" customHeight="true" outlineLevel="0" collapsed="false">
      <c r="A28" s="99" t="n">
        <v>0.475694444444444</v>
      </c>
      <c r="D28" s="24"/>
      <c r="E28" s="24"/>
      <c r="F28" s="100" t="s">
        <v>58</v>
      </c>
      <c r="G28" s="100"/>
      <c r="H28" s="100"/>
      <c r="I28" s="100"/>
      <c r="J28" s="100"/>
      <c r="K28" s="100"/>
      <c r="L28" s="100"/>
      <c r="M28" s="100"/>
      <c r="N28" s="100"/>
      <c r="O28" s="100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  <c r="AE28" s="100"/>
      <c r="AF28" s="100"/>
      <c r="AG28" s="100"/>
      <c r="AH28" s="100"/>
      <c r="AI28" s="100"/>
      <c r="AJ28" s="100"/>
      <c r="AK28" s="100"/>
      <c r="AL28" s="100"/>
      <c r="AM28" s="100"/>
      <c r="AN28" s="100"/>
      <c r="AO28" s="100"/>
      <c r="AP28" s="100"/>
      <c r="AQ28" s="100"/>
      <c r="AR28" s="100"/>
      <c r="AS28" s="100"/>
      <c r="AT28" s="100"/>
      <c r="AU28" s="100"/>
      <c r="AV28" s="100"/>
      <c r="AW28" s="100"/>
      <c r="AX28" s="101"/>
      <c r="AY28" s="93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43" t="s">
        <v>59</v>
      </c>
      <c r="BL28" s="43"/>
      <c r="BM28" s="43"/>
      <c r="BN28" s="43"/>
      <c r="BO28" s="43"/>
      <c r="BP28" s="43"/>
      <c r="BQ28" s="43"/>
      <c r="BR28" s="43"/>
      <c r="BS28" s="43"/>
      <c r="BT28" s="102"/>
      <c r="BU28" s="43" t="s">
        <v>60</v>
      </c>
      <c r="BV28" s="43"/>
      <c r="BW28" s="43"/>
      <c r="BX28" s="43"/>
      <c r="BY28" s="43"/>
      <c r="BZ28" s="43"/>
      <c r="CA28" s="43"/>
      <c r="CB28" s="43"/>
      <c r="CC28" s="43"/>
      <c r="CD28" s="43"/>
      <c r="CE28" s="43"/>
      <c r="CF28" s="43"/>
      <c r="CG28" s="43"/>
      <c r="CH28" s="43"/>
      <c r="CI28" s="43"/>
      <c r="CJ28" s="43"/>
      <c r="CK28" s="43"/>
      <c r="CL28" s="43"/>
    </row>
    <row r="29" customFormat="false" ht="10.5" hidden="false" customHeight="true" outlineLevel="0" collapsed="false">
      <c r="D29" s="24"/>
      <c r="E29" s="24"/>
      <c r="F29" s="103" t="str">
        <f aca="false">MID(A27,81,50)</f>
        <v/>
      </c>
      <c r="G29" s="103"/>
      <c r="H29" s="103"/>
      <c r="I29" s="103"/>
      <c r="J29" s="103"/>
      <c r="K29" s="103"/>
      <c r="L29" s="103"/>
      <c r="M29" s="103"/>
      <c r="N29" s="103"/>
      <c r="O29" s="103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  <c r="AA29" s="103"/>
      <c r="AB29" s="103"/>
      <c r="AC29" s="103"/>
      <c r="AD29" s="103"/>
      <c r="AE29" s="103"/>
      <c r="AF29" s="103"/>
      <c r="AG29" s="103"/>
      <c r="AH29" s="103"/>
      <c r="AI29" s="103"/>
      <c r="AJ29" s="103"/>
      <c r="AK29" s="103"/>
      <c r="AL29" s="103"/>
      <c r="AM29" s="103"/>
      <c r="AN29" s="103"/>
      <c r="AO29" s="103"/>
      <c r="AP29" s="103"/>
      <c r="AQ29" s="103"/>
      <c r="AR29" s="103"/>
      <c r="AS29" s="103"/>
      <c r="AT29" s="103"/>
      <c r="AU29" s="103"/>
      <c r="AV29" s="103"/>
      <c r="AW29" s="103"/>
      <c r="AX29" s="2"/>
      <c r="AY29" s="104" t="s">
        <v>61</v>
      </c>
      <c r="AZ29" s="104"/>
      <c r="BA29" s="104"/>
      <c r="BB29" s="104"/>
      <c r="BC29" s="104"/>
      <c r="BD29" s="104"/>
      <c r="BE29" s="104"/>
      <c r="BF29" s="104"/>
      <c r="BG29" s="104"/>
      <c r="BH29" s="104"/>
      <c r="BI29" s="104"/>
      <c r="BJ29" s="104"/>
      <c r="BK29" s="105" t="s">
        <v>62</v>
      </c>
      <c r="BL29" s="105"/>
      <c r="BM29" s="105"/>
      <c r="BN29" s="105"/>
      <c r="BO29" s="105"/>
      <c r="BP29" s="105"/>
      <c r="BQ29" s="105"/>
      <c r="BR29" s="105"/>
      <c r="BS29" s="105"/>
      <c r="BT29" s="105"/>
      <c r="BU29" s="105"/>
      <c r="BV29" s="105"/>
      <c r="BW29" s="105"/>
      <c r="BX29" s="105"/>
      <c r="BY29" s="106" t="s">
        <v>63</v>
      </c>
      <c r="BZ29" s="106"/>
      <c r="CA29" s="106"/>
      <c r="CB29" s="106"/>
      <c r="CC29" s="106"/>
      <c r="CD29" s="106"/>
      <c r="CE29" s="106"/>
      <c r="CF29" s="106"/>
      <c r="CG29" s="106"/>
      <c r="CH29" s="106"/>
      <c r="CI29" s="106"/>
      <c r="CJ29" s="106"/>
      <c r="CK29" s="106"/>
      <c r="CL29" s="106"/>
      <c r="CN29" s="107"/>
    </row>
    <row r="30" customFormat="false" ht="10.5" hidden="false" customHeight="true" outlineLevel="0" collapsed="false">
      <c r="D30" s="24"/>
      <c r="E30" s="24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8"/>
      <c r="AI30" s="109"/>
      <c r="AJ30" s="110"/>
      <c r="AK30" s="110"/>
      <c r="AL30" s="110"/>
      <c r="AM30" s="110"/>
      <c r="AN30" s="110"/>
      <c r="AO30" s="110"/>
      <c r="AP30" s="110"/>
      <c r="AQ30" s="110"/>
      <c r="AR30" s="110"/>
      <c r="AS30" s="110"/>
      <c r="AT30" s="110"/>
      <c r="AU30" s="110"/>
      <c r="AV30" s="110"/>
      <c r="AW30" s="110"/>
      <c r="AX30" s="2"/>
      <c r="AY30" s="104"/>
      <c r="AZ30" s="104"/>
      <c r="BA30" s="104"/>
      <c r="BB30" s="104"/>
      <c r="BC30" s="104"/>
      <c r="BD30" s="104"/>
      <c r="BE30" s="104"/>
      <c r="BF30" s="104"/>
      <c r="BG30" s="104"/>
      <c r="BH30" s="104"/>
      <c r="BI30" s="104"/>
      <c r="BJ30" s="104"/>
      <c r="BK30" s="111" t="s">
        <v>64</v>
      </c>
      <c r="BL30" s="111"/>
      <c r="BM30" s="111"/>
      <c r="BN30" s="111"/>
      <c r="BO30" s="111"/>
      <c r="BP30" s="111"/>
      <c r="BQ30" s="111"/>
      <c r="BR30" s="111"/>
      <c r="BS30" s="111"/>
      <c r="BT30" s="111"/>
      <c r="BU30" s="111"/>
      <c r="BV30" s="111"/>
      <c r="BW30" s="111"/>
      <c r="BX30" s="111"/>
      <c r="BY30" s="112"/>
      <c r="BZ30" s="112"/>
      <c r="CA30" s="112"/>
      <c r="CB30" s="112"/>
      <c r="CC30" s="112"/>
      <c r="CD30" s="112"/>
      <c r="CE30" s="112"/>
      <c r="CF30" s="112"/>
      <c r="CG30" s="112"/>
      <c r="CH30" s="112"/>
      <c r="CI30" s="112"/>
      <c r="CJ30" s="112"/>
      <c r="CK30" s="112"/>
      <c r="CL30" s="112"/>
      <c r="CM30" s="1" t="n">
        <v>0</v>
      </c>
    </row>
    <row r="31" customFormat="false" ht="10.5" hidden="false" customHeight="true" outlineLevel="0" collapsed="false">
      <c r="A31" s="99" t="n">
        <v>0</v>
      </c>
      <c r="D31" s="24"/>
      <c r="E31" s="24"/>
      <c r="F31" s="113" t="s">
        <v>65</v>
      </c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Z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4"/>
      <c r="AK31" s="114"/>
      <c r="AL31" s="114"/>
      <c r="AM31" s="114"/>
      <c r="AN31" s="114"/>
      <c r="AO31" s="114"/>
      <c r="AP31" s="114"/>
      <c r="AQ31" s="114"/>
      <c r="AR31" s="114"/>
      <c r="AS31" s="114"/>
      <c r="AT31" s="114"/>
      <c r="AU31" s="114"/>
      <c r="AV31" s="114"/>
      <c r="AW31" s="114"/>
      <c r="AX31" s="2"/>
      <c r="AY31" s="2"/>
      <c r="AZ31" s="2"/>
      <c r="BA31" s="2"/>
      <c r="BB31" s="2"/>
      <c r="BC31" s="2"/>
      <c r="BD31" s="2"/>
      <c r="BE31" s="115"/>
      <c r="BF31" s="0"/>
      <c r="BG31" s="2"/>
      <c r="BH31" s="2"/>
      <c r="BI31" s="2"/>
      <c r="BJ31" s="2"/>
      <c r="BK31" s="116" t="str">
        <f aca="false">IF(B27&lt;&gt;"",B27,"")</f>
        <v/>
      </c>
      <c r="BL31" s="116"/>
      <c r="BM31" s="116"/>
      <c r="BN31" s="116"/>
      <c r="BO31" s="116"/>
      <c r="BP31" s="116"/>
      <c r="BQ31" s="116"/>
      <c r="BR31" s="116"/>
      <c r="BS31" s="116"/>
      <c r="BT31" s="116"/>
      <c r="BU31" s="116"/>
      <c r="BV31" s="116"/>
      <c r="BW31" s="116"/>
      <c r="BX31" s="116"/>
      <c r="BY31" s="117"/>
      <c r="BZ31" s="117"/>
      <c r="CA31" s="117"/>
      <c r="CB31" s="117"/>
      <c r="CC31" s="117"/>
      <c r="CD31" s="117"/>
      <c r="CE31" s="117"/>
      <c r="CF31" s="117"/>
      <c r="CG31" s="117"/>
      <c r="CH31" s="117"/>
      <c r="CI31" s="117"/>
      <c r="CJ31" s="117"/>
      <c r="CK31" s="117"/>
      <c r="CL31" s="117"/>
    </row>
    <row r="32" customFormat="false" ht="23.25" hidden="false" customHeight="true" outlineLevel="0" collapsed="false">
      <c r="D32" s="24"/>
      <c r="E32" s="24"/>
      <c r="F32" s="118" t="s">
        <v>28</v>
      </c>
      <c r="G32" s="118"/>
      <c r="H32" s="118"/>
      <c r="I32" s="118"/>
      <c r="J32" s="118"/>
      <c r="K32" s="118"/>
      <c r="L32" s="118"/>
      <c r="M32" s="118"/>
      <c r="N32" s="118"/>
      <c r="O32" s="118"/>
      <c r="P32" s="118"/>
      <c r="Q32" s="118"/>
      <c r="R32" s="118"/>
      <c r="S32" s="118"/>
      <c r="T32" s="118"/>
      <c r="U32" s="118"/>
      <c r="V32" s="118"/>
      <c r="W32" s="118"/>
      <c r="X32" s="118"/>
      <c r="Y32" s="118"/>
      <c r="Z32" s="119"/>
      <c r="AA32" s="119"/>
      <c r="AB32" s="119"/>
      <c r="AC32" s="119"/>
      <c r="AD32" s="119"/>
      <c r="AE32" s="119"/>
      <c r="AF32" s="119"/>
      <c r="AG32" s="23"/>
      <c r="AH32" s="120" t="s">
        <v>57</v>
      </c>
      <c r="AI32" s="120"/>
      <c r="AJ32" s="120"/>
      <c r="AK32" s="120"/>
      <c r="AL32" s="120"/>
      <c r="AM32" s="120"/>
      <c r="AN32" s="120"/>
      <c r="AO32" s="120"/>
      <c r="AP32" s="120"/>
      <c r="AQ32" s="120"/>
      <c r="AR32" s="120"/>
      <c r="AS32" s="120"/>
      <c r="AT32" s="120"/>
      <c r="AU32" s="120"/>
      <c r="AV32" s="120"/>
      <c r="AW32" s="120"/>
      <c r="AX32" s="102"/>
      <c r="AY32" s="2"/>
      <c r="AZ32" s="79" t="s">
        <v>66</v>
      </c>
      <c r="BA32" s="79"/>
      <c r="BB32" s="79"/>
      <c r="BC32" s="79"/>
      <c r="BD32" s="79"/>
      <c r="BE32" s="79"/>
      <c r="BF32" s="79"/>
      <c r="BG32" s="79"/>
      <c r="BH32" s="79"/>
      <c r="BI32" s="79"/>
      <c r="BJ32" s="79"/>
      <c r="BK32" s="79"/>
      <c r="BL32" s="79"/>
      <c r="BM32" s="79"/>
      <c r="BN32" s="79"/>
      <c r="BO32" s="79"/>
      <c r="BP32" s="79"/>
      <c r="BQ32" s="79"/>
      <c r="BR32" s="79"/>
      <c r="BS32" s="79"/>
      <c r="BT32" s="79"/>
      <c r="BU32" s="79"/>
      <c r="BV32" s="79"/>
      <c r="BW32" s="79"/>
      <c r="BX32" s="79"/>
      <c r="BY32" s="79"/>
      <c r="BZ32" s="79"/>
      <c r="CA32" s="79"/>
      <c r="CB32" s="79"/>
      <c r="CC32" s="79"/>
      <c r="CD32" s="79"/>
      <c r="CE32" s="79"/>
      <c r="CF32" s="79"/>
      <c r="CG32" s="79"/>
      <c r="CH32" s="79"/>
      <c r="CI32" s="79"/>
      <c r="CJ32" s="79"/>
      <c r="CK32" s="79"/>
      <c r="CL32" s="79"/>
      <c r="CM32" s="1" t="n">
        <v>491</v>
      </c>
    </row>
    <row r="33" customFormat="false" ht="10.5" hidden="false" customHeight="true" outlineLevel="0" collapsed="false">
      <c r="A33" s="1" t="n">
        <v>491</v>
      </c>
      <c r="D33" s="24"/>
      <c r="E33" s="24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43" t="s">
        <v>59</v>
      </c>
      <c r="AA33" s="43"/>
      <c r="AB33" s="43"/>
      <c r="AC33" s="43"/>
      <c r="AD33" s="43"/>
      <c r="AE33" s="43"/>
      <c r="AF33" s="43"/>
      <c r="AG33" s="22"/>
      <c r="AH33" s="22" t="s">
        <v>60</v>
      </c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121"/>
      <c r="AY33" s="12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123" t="s">
        <v>67</v>
      </c>
      <c r="BT33" s="123"/>
      <c r="BU33" s="123"/>
      <c r="BV33" s="123"/>
      <c r="BW33" s="123"/>
      <c r="BX33" s="123"/>
      <c r="BY33" s="123"/>
      <c r="BZ33" s="123"/>
      <c r="CA33" s="123"/>
      <c r="CB33" s="123"/>
      <c r="CC33" s="123"/>
      <c r="CD33" s="123"/>
      <c r="CE33" s="123"/>
      <c r="CF33" s="123"/>
      <c r="CG33" s="123"/>
      <c r="CH33" s="123"/>
      <c r="CI33" s="123"/>
      <c r="CJ33" s="123"/>
      <c r="CK33" s="123"/>
      <c r="CL33" s="123"/>
    </row>
    <row r="34" customFormat="false" ht="10.5" hidden="false" customHeight="true" outlineLevel="0" collapsed="false">
      <c r="D34" s="24"/>
      <c r="E34" s="24"/>
      <c r="F34" s="124" t="s">
        <v>68</v>
      </c>
      <c r="G34" s="124"/>
      <c r="H34" s="124"/>
      <c r="I34" s="124"/>
      <c r="J34" s="124"/>
      <c r="K34" s="124"/>
      <c r="L34" s="124"/>
      <c r="M34" s="124"/>
      <c r="N34" s="124"/>
      <c r="O34" s="124"/>
      <c r="P34" s="124"/>
      <c r="Q34" s="124"/>
      <c r="R34" s="124"/>
      <c r="S34" s="124"/>
      <c r="T34" s="124"/>
      <c r="U34" s="124"/>
      <c r="V34" s="124"/>
      <c r="W34" s="124"/>
      <c r="X34" s="124"/>
      <c r="Y34" s="124"/>
      <c r="Z34" s="124"/>
      <c r="AA34" s="124"/>
      <c r="AB34" s="124"/>
      <c r="AC34" s="124"/>
      <c r="AD34" s="124"/>
      <c r="AE34" s="124"/>
      <c r="AF34" s="124"/>
      <c r="AG34" s="124"/>
      <c r="AH34" s="124"/>
      <c r="AI34" s="124"/>
      <c r="AJ34" s="125"/>
      <c r="AK34" s="125"/>
      <c r="AL34" s="125"/>
      <c r="AM34" s="125"/>
      <c r="AN34" s="125"/>
      <c r="AO34" s="125"/>
      <c r="AP34" s="125"/>
      <c r="AQ34" s="125"/>
      <c r="AR34" s="125"/>
      <c r="AS34" s="125"/>
      <c r="AT34" s="125"/>
      <c r="AU34" s="125"/>
      <c r="AV34" s="125"/>
      <c r="AW34" s="125"/>
      <c r="AX34" s="2"/>
      <c r="AY34" s="12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126" t="n">
        <v>50</v>
      </c>
      <c r="BT34" s="126"/>
      <c r="BU34" s="126"/>
      <c r="BV34" s="126"/>
      <c r="BW34" s="126"/>
      <c r="BX34" s="126"/>
      <c r="BY34" s="126"/>
      <c r="BZ34" s="126"/>
      <c r="CA34" s="126"/>
      <c r="CB34" s="126"/>
      <c r="CC34" s="127" t="str">
        <f aca="false">IF(C27&lt;&gt;"",C27,"")</f>
        <v/>
      </c>
      <c r="CD34" s="127"/>
      <c r="CE34" s="127"/>
      <c r="CF34" s="127"/>
      <c r="CG34" s="127"/>
      <c r="CH34" s="127"/>
      <c r="CI34" s="127"/>
      <c r="CJ34" s="127"/>
      <c r="CK34" s="127"/>
      <c r="CL34" s="127"/>
    </row>
    <row r="35" customFormat="false" ht="10.5" hidden="false" customHeight="true" outlineLevel="0" collapsed="false">
      <c r="A35" s="99" t="n">
        <v>0.475694444444444</v>
      </c>
      <c r="D35" s="24"/>
      <c r="E35" s="24"/>
      <c r="F35" s="124"/>
      <c r="G35" s="124"/>
      <c r="H35" s="124"/>
      <c r="I35" s="124"/>
      <c r="J35" s="124"/>
      <c r="K35" s="124"/>
      <c r="L35" s="124"/>
      <c r="M35" s="124"/>
      <c r="N35" s="124"/>
      <c r="O35" s="124"/>
      <c r="P35" s="124"/>
      <c r="Q35" s="124"/>
      <c r="R35" s="124"/>
      <c r="S35" s="124"/>
      <c r="T35" s="124"/>
      <c r="U35" s="124"/>
      <c r="V35" s="124"/>
      <c r="W35" s="124"/>
      <c r="X35" s="124"/>
      <c r="Y35" s="124"/>
      <c r="Z35" s="124"/>
      <c r="AA35" s="124"/>
      <c r="AB35" s="124"/>
      <c r="AC35" s="124"/>
      <c r="AD35" s="124"/>
      <c r="AE35" s="124"/>
      <c r="AF35" s="124"/>
      <c r="AG35" s="124"/>
      <c r="AH35" s="124"/>
      <c r="AI35" s="124"/>
      <c r="AJ35" s="128"/>
      <c r="AK35" s="128"/>
      <c r="AL35" s="128"/>
      <c r="AM35" s="128"/>
      <c r="AN35" s="128"/>
      <c r="AO35" s="128"/>
      <c r="AP35" s="128"/>
      <c r="AQ35" s="128"/>
      <c r="AR35" s="128"/>
      <c r="AS35" s="128"/>
      <c r="AT35" s="128"/>
      <c r="AU35" s="128"/>
      <c r="AV35" s="128"/>
      <c r="AW35" s="128"/>
      <c r="AX35" s="2"/>
      <c r="AY35" s="2"/>
      <c r="AZ35" s="2"/>
      <c r="BA35" s="2"/>
      <c r="BB35" s="2"/>
      <c r="BC35" s="129" t="s">
        <v>69</v>
      </c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126"/>
      <c r="BT35" s="126"/>
      <c r="BU35" s="126"/>
      <c r="BV35" s="126"/>
      <c r="BW35" s="126"/>
      <c r="BX35" s="126"/>
      <c r="BY35" s="126"/>
      <c r="BZ35" s="126"/>
      <c r="CA35" s="126"/>
      <c r="CB35" s="126"/>
      <c r="CC35" s="127"/>
      <c r="CD35" s="127"/>
      <c r="CE35" s="127"/>
      <c r="CF35" s="127"/>
      <c r="CG35" s="127"/>
      <c r="CH35" s="127"/>
      <c r="CI35" s="127"/>
      <c r="CJ35" s="127"/>
      <c r="CK35" s="127"/>
      <c r="CL35" s="127"/>
    </row>
    <row r="36" customFormat="false" ht="20.25" hidden="false" customHeight="true" outlineLevel="0" collapsed="false">
      <c r="D36" s="24"/>
      <c r="E36" s="24"/>
      <c r="F36" s="118" t="s">
        <v>28</v>
      </c>
      <c r="G36" s="118"/>
      <c r="H36" s="118"/>
      <c r="I36" s="118"/>
      <c r="J36" s="118"/>
      <c r="K36" s="118"/>
      <c r="L36" s="118"/>
      <c r="M36" s="118"/>
      <c r="N36" s="118"/>
      <c r="O36" s="118"/>
      <c r="P36" s="118"/>
      <c r="Q36" s="118"/>
      <c r="R36" s="118"/>
      <c r="S36" s="118"/>
      <c r="T36" s="118"/>
      <c r="U36" s="118"/>
      <c r="V36" s="118"/>
      <c r="W36" s="118"/>
      <c r="X36" s="118"/>
      <c r="Y36" s="118"/>
      <c r="Z36" s="98"/>
      <c r="AA36" s="98"/>
      <c r="AB36" s="98"/>
      <c r="AC36" s="98"/>
      <c r="AD36" s="98"/>
      <c r="AE36" s="98"/>
      <c r="AF36" s="98"/>
      <c r="AG36" s="2"/>
      <c r="AH36" s="120" t="s">
        <v>57</v>
      </c>
      <c r="AI36" s="120"/>
      <c r="AJ36" s="120"/>
      <c r="AK36" s="120"/>
      <c r="AL36" s="120"/>
      <c r="AM36" s="120"/>
      <c r="AN36" s="120"/>
      <c r="AO36" s="120"/>
      <c r="AP36" s="120"/>
      <c r="AQ36" s="120"/>
      <c r="AR36" s="120"/>
      <c r="AS36" s="120"/>
      <c r="AT36" s="120"/>
      <c r="AU36" s="120"/>
      <c r="AV36" s="120"/>
      <c r="AW36" s="120"/>
      <c r="AX36" s="2"/>
      <c r="AY36" s="129" t="s">
        <v>70</v>
      </c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130"/>
      <c r="BT36" s="130"/>
      <c r="BU36" s="130"/>
      <c r="BV36" s="130"/>
      <c r="BW36" s="130"/>
      <c r="BX36" s="130"/>
      <c r="BY36" s="130"/>
      <c r="BZ36" s="130"/>
      <c r="CA36" s="130"/>
      <c r="CB36" s="130"/>
      <c r="CC36" s="131" t="str">
        <f aca="false">IF(OR(CQ37="",CQ37=0),"",CQ37)</f>
        <v/>
      </c>
      <c r="CD36" s="131"/>
      <c r="CE36" s="131"/>
      <c r="CF36" s="131"/>
      <c r="CG36" s="131"/>
      <c r="CH36" s="131"/>
      <c r="CI36" s="131"/>
      <c r="CJ36" s="131"/>
      <c r="CK36" s="131"/>
      <c r="CL36" s="131"/>
      <c r="CQ36" s="1" t="n">
        <v>35</v>
      </c>
      <c r="CR36" s="1" t="n">
        <v>20.38</v>
      </c>
      <c r="CS36" s="1" t="n">
        <v>7.31</v>
      </c>
      <c r="CT36" s="1" t="n">
        <v>48.07</v>
      </c>
      <c r="CU36" s="1" t="n">
        <v>48.07</v>
      </c>
      <c r="CV36" s="1" t="n">
        <v>0</v>
      </c>
      <c r="CW36" s="1" t="n">
        <v>0</v>
      </c>
    </row>
    <row r="37" customFormat="false" ht="12" hidden="false" customHeight="true" outlineLevel="0" collapsed="false"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43" t="s">
        <v>59</v>
      </c>
      <c r="AA37" s="43"/>
      <c r="AB37" s="43"/>
      <c r="AC37" s="43"/>
      <c r="AD37" s="43"/>
      <c r="AE37" s="43"/>
      <c r="AF37" s="43"/>
      <c r="AG37" s="132"/>
      <c r="AH37" s="43" t="s">
        <v>60</v>
      </c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  <c r="AX37" s="102"/>
      <c r="AY37" s="129" t="s">
        <v>71</v>
      </c>
      <c r="AZ37" s="2"/>
      <c r="BA37" s="2"/>
      <c r="BB37" s="2"/>
      <c r="BC37" s="2"/>
      <c r="BD37" s="2"/>
      <c r="BE37" s="2"/>
      <c r="BF37" s="2"/>
      <c r="BG37" s="2"/>
      <c r="BH37" s="133"/>
      <c r="BI37" s="133"/>
      <c r="BJ37" s="133"/>
      <c r="BK37" s="133"/>
      <c r="BL37" s="133"/>
      <c r="BM37" s="133"/>
      <c r="BN37" s="133"/>
      <c r="BO37" s="133"/>
      <c r="BP37" s="133"/>
      <c r="BQ37" s="133"/>
      <c r="BR37" s="133"/>
      <c r="BS37" s="134"/>
      <c r="BT37" s="134"/>
      <c r="BU37" s="134"/>
      <c r="BV37" s="134"/>
      <c r="BW37" s="134"/>
      <c r="BX37" s="134"/>
      <c r="BY37" s="134"/>
      <c r="BZ37" s="134"/>
      <c r="CA37" s="134"/>
      <c r="CB37" s="134"/>
      <c r="CC37" s="135"/>
      <c r="CD37" s="135"/>
      <c r="CE37" s="135"/>
      <c r="CF37" s="135"/>
      <c r="CG37" s="135"/>
      <c r="CH37" s="135"/>
      <c r="CI37" s="135"/>
      <c r="CJ37" s="135"/>
      <c r="CK37" s="135"/>
      <c r="CL37" s="135"/>
    </row>
    <row r="38" customFormat="false" ht="12" hidden="false" customHeight="true" outlineLevel="0" collapsed="false">
      <c r="F38" s="119"/>
      <c r="G38" s="119"/>
      <c r="H38" s="119"/>
      <c r="I38" s="119"/>
      <c r="J38" s="119"/>
      <c r="K38" s="119"/>
      <c r="L38" s="119"/>
      <c r="M38" s="119"/>
      <c r="N38" s="119"/>
      <c r="O38" s="119"/>
      <c r="P38" s="119"/>
      <c r="Q38" s="119"/>
      <c r="R38" s="119"/>
      <c r="S38" s="119"/>
      <c r="T38" s="119"/>
      <c r="U38" s="119"/>
      <c r="V38" s="119"/>
      <c r="W38" s="119"/>
      <c r="X38" s="119"/>
      <c r="Y38" s="119"/>
      <c r="Z38" s="119"/>
      <c r="AA38" s="119"/>
      <c r="AB38" s="119"/>
      <c r="AC38" s="119"/>
      <c r="AD38" s="119"/>
      <c r="AE38" s="119"/>
      <c r="AF38" s="119"/>
      <c r="AG38" s="119"/>
      <c r="AH38" s="119"/>
      <c r="AI38" s="119"/>
      <c r="AJ38" s="119"/>
      <c r="AK38" s="119"/>
      <c r="AL38" s="119"/>
      <c r="AM38" s="119"/>
      <c r="AN38" s="119"/>
      <c r="AO38" s="119"/>
      <c r="AP38" s="119"/>
      <c r="AQ38" s="119"/>
      <c r="AR38" s="119"/>
      <c r="AS38" s="119"/>
      <c r="AT38" s="119"/>
      <c r="AU38" s="119"/>
      <c r="AV38" s="119"/>
      <c r="AW38" s="119"/>
      <c r="AX38" s="2"/>
      <c r="AY38" s="136" t="s">
        <v>72</v>
      </c>
      <c r="AZ38" s="136"/>
      <c r="BA38" s="136"/>
      <c r="BB38" s="136"/>
      <c r="BC38" s="136"/>
      <c r="BD38" s="136"/>
      <c r="BE38" s="136"/>
      <c r="BF38" s="137" t="s">
        <v>73</v>
      </c>
      <c r="BG38" s="137"/>
      <c r="BH38" s="137"/>
      <c r="BI38" s="137"/>
      <c r="BJ38" s="137"/>
      <c r="BK38" s="137"/>
      <c r="BL38" s="137"/>
      <c r="BM38" s="137"/>
      <c r="BN38" s="137"/>
      <c r="BO38" s="137"/>
      <c r="BP38" s="137"/>
      <c r="BQ38" s="137"/>
      <c r="BR38" s="137"/>
      <c r="BS38" s="138" t="n">
        <v>15.62</v>
      </c>
      <c r="BT38" s="138"/>
      <c r="BU38" s="138"/>
      <c r="BV38" s="138"/>
      <c r="BW38" s="138"/>
      <c r="BX38" s="138"/>
      <c r="BY38" s="138"/>
      <c r="BZ38" s="138"/>
      <c r="CA38" s="138"/>
      <c r="CB38" s="138"/>
      <c r="CC38" s="135" t="str">
        <f aca="false">IF(CR37="","",CR37)</f>
        <v/>
      </c>
      <c r="CD38" s="135"/>
      <c r="CE38" s="135"/>
      <c r="CF38" s="135"/>
      <c r="CG38" s="135"/>
      <c r="CH38" s="135"/>
      <c r="CI38" s="135"/>
      <c r="CJ38" s="135"/>
      <c r="CK38" s="135"/>
      <c r="CL38" s="135"/>
    </row>
    <row r="39" customFormat="false" ht="11.25" hidden="false" customHeight="true" outlineLevel="0" collapsed="false">
      <c r="F39" s="139" t="s">
        <v>74</v>
      </c>
      <c r="G39" s="139"/>
      <c r="H39" s="139"/>
      <c r="I39" s="139"/>
      <c r="J39" s="139"/>
      <c r="K39" s="139"/>
      <c r="L39" s="139"/>
      <c r="M39" s="139"/>
      <c r="N39" s="139"/>
      <c r="O39" s="139"/>
      <c r="P39" s="139"/>
      <c r="Q39" s="139"/>
      <c r="R39" s="139"/>
      <c r="S39" s="139"/>
      <c r="T39" s="139"/>
      <c r="U39" s="139"/>
      <c r="V39" s="139"/>
      <c r="W39" s="139"/>
      <c r="X39" s="139"/>
      <c r="Y39" s="139"/>
      <c r="Z39" s="139"/>
      <c r="AA39" s="139"/>
      <c r="AB39" s="139"/>
      <c r="AC39" s="139"/>
      <c r="AD39" s="139"/>
      <c r="AE39" s="139"/>
      <c r="AF39" s="139"/>
      <c r="AG39" s="139"/>
      <c r="AH39" s="139"/>
      <c r="AI39" s="139"/>
      <c r="AJ39" s="139"/>
      <c r="AK39" s="139"/>
      <c r="AL39" s="139"/>
      <c r="AM39" s="139"/>
      <c r="AN39" s="139"/>
      <c r="AO39" s="139"/>
      <c r="AP39" s="139"/>
      <c r="AQ39" s="139"/>
      <c r="AR39" s="139"/>
      <c r="AS39" s="139"/>
      <c r="AT39" s="139"/>
      <c r="AU39" s="139"/>
      <c r="AV39" s="139"/>
      <c r="AW39" s="139"/>
      <c r="AX39" s="2"/>
      <c r="AY39" s="2"/>
      <c r="AZ39" s="2"/>
      <c r="BA39" s="2"/>
      <c r="BB39" s="2"/>
      <c r="BC39" s="2"/>
      <c r="BD39" s="2"/>
      <c r="BE39" s="2"/>
      <c r="BF39" s="140" t="s">
        <v>75</v>
      </c>
      <c r="BG39" s="140"/>
      <c r="BH39" s="140"/>
      <c r="BI39" s="140"/>
      <c r="BJ39" s="140"/>
      <c r="BK39" s="140"/>
      <c r="BL39" s="140"/>
      <c r="BM39" s="140"/>
      <c r="BN39" s="140"/>
      <c r="BO39" s="140"/>
      <c r="BP39" s="140"/>
      <c r="BQ39" s="140"/>
      <c r="BR39" s="140"/>
      <c r="BS39" s="141" t="n">
        <f aca="false">BS34+BS38-BS41</f>
        <v>47.57</v>
      </c>
      <c r="BT39" s="141"/>
      <c r="BU39" s="141"/>
      <c r="BV39" s="141"/>
      <c r="BW39" s="141"/>
      <c r="BX39" s="141"/>
      <c r="BY39" s="141"/>
      <c r="BZ39" s="141"/>
      <c r="CA39" s="141"/>
      <c r="CB39" s="141"/>
      <c r="CC39" s="135" t="str">
        <f aca="false">IF(CS37="","",CS37)</f>
        <v/>
      </c>
      <c r="CD39" s="135"/>
      <c r="CE39" s="135"/>
      <c r="CF39" s="135"/>
      <c r="CG39" s="135"/>
      <c r="CH39" s="135"/>
      <c r="CI39" s="135"/>
      <c r="CJ39" s="135"/>
      <c r="CK39" s="135"/>
      <c r="CL39" s="135"/>
    </row>
    <row r="40" customFormat="false" ht="11.25" hidden="false" customHeight="true" outlineLevel="0" collapsed="false">
      <c r="F40" s="113" t="s">
        <v>76</v>
      </c>
      <c r="G40" s="113"/>
      <c r="H40" s="113"/>
      <c r="I40" s="113"/>
      <c r="J40" s="113"/>
      <c r="K40" s="113"/>
      <c r="L40" s="113"/>
      <c r="M40" s="113"/>
      <c r="N40" s="113"/>
      <c r="O40" s="113"/>
      <c r="P40" s="113"/>
      <c r="Q40" s="113"/>
      <c r="R40" s="113"/>
      <c r="S40" s="113"/>
      <c r="T40" s="113"/>
      <c r="U40" s="142" t="s">
        <v>77</v>
      </c>
      <c r="V40" s="142"/>
      <c r="W40" s="142"/>
      <c r="X40" s="142"/>
      <c r="Y40" s="142"/>
      <c r="Z40" s="142"/>
      <c r="AA40" s="142"/>
      <c r="AB40" s="142"/>
      <c r="AC40" s="142"/>
      <c r="AD40" s="142"/>
      <c r="AE40" s="142"/>
      <c r="AF40" s="142"/>
      <c r="AG40" s="142"/>
      <c r="AH40" s="142"/>
      <c r="AI40" s="142"/>
      <c r="AJ40" s="142"/>
      <c r="AK40" s="142"/>
      <c r="AL40" s="142"/>
      <c r="AM40" s="142"/>
      <c r="AN40" s="142"/>
      <c r="AO40" s="142"/>
      <c r="AP40" s="142"/>
      <c r="AQ40" s="142"/>
      <c r="AR40" s="142"/>
      <c r="AS40" s="142"/>
      <c r="AT40" s="142"/>
      <c r="AU40" s="142"/>
      <c r="AV40" s="142"/>
      <c r="AW40" s="142"/>
      <c r="AX40" s="2"/>
      <c r="AY40" s="136" t="s">
        <v>78</v>
      </c>
      <c r="AZ40" s="136"/>
      <c r="BA40" s="136"/>
      <c r="BB40" s="136"/>
      <c r="BC40" s="136"/>
      <c r="BD40" s="136"/>
      <c r="BE40" s="136"/>
      <c r="BF40" s="137" t="s">
        <v>79</v>
      </c>
      <c r="BG40" s="137"/>
      <c r="BH40" s="137"/>
      <c r="BI40" s="137"/>
      <c r="BJ40" s="137"/>
      <c r="BK40" s="137"/>
      <c r="BL40" s="137"/>
      <c r="BM40" s="137"/>
      <c r="BN40" s="137"/>
      <c r="BO40" s="137"/>
      <c r="BP40" s="137"/>
      <c r="BQ40" s="137"/>
      <c r="BR40" s="137"/>
      <c r="BS40" s="134"/>
      <c r="BT40" s="134"/>
      <c r="BU40" s="134"/>
      <c r="BV40" s="134"/>
      <c r="BW40" s="134"/>
      <c r="BX40" s="134"/>
      <c r="BY40" s="134"/>
      <c r="BZ40" s="134"/>
      <c r="CA40" s="134"/>
      <c r="CB40" s="134"/>
      <c r="CC40" s="135" t="str">
        <f aca="false">IF(CT37="","",CT37)</f>
        <v/>
      </c>
      <c r="CD40" s="135"/>
      <c r="CE40" s="135"/>
      <c r="CF40" s="135"/>
      <c r="CG40" s="135"/>
      <c r="CH40" s="135"/>
      <c r="CI40" s="135"/>
      <c r="CJ40" s="135"/>
      <c r="CK40" s="135"/>
      <c r="CL40" s="135"/>
    </row>
    <row r="41" customFormat="false" ht="11.25" hidden="false" customHeight="true" outlineLevel="0" collapsed="false"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  <c r="AC41" s="100"/>
      <c r="AD41" s="100"/>
      <c r="AE41" s="100"/>
      <c r="AF41" s="100"/>
      <c r="AG41" s="100"/>
      <c r="AH41" s="100"/>
      <c r="AI41" s="100"/>
      <c r="AJ41" s="100"/>
      <c r="AK41" s="100"/>
      <c r="AL41" s="100"/>
      <c r="AM41" s="100"/>
      <c r="AN41" s="100"/>
      <c r="AO41" s="100"/>
      <c r="AP41" s="100"/>
      <c r="AQ41" s="100"/>
      <c r="AR41" s="100"/>
      <c r="AS41" s="100"/>
      <c r="AT41" s="100"/>
      <c r="AU41" s="100"/>
      <c r="AV41" s="100"/>
      <c r="AW41" s="100"/>
      <c r="AX41" s="2"/>
      <c r="AY41" s="2"/>
      <c r="AZ41" s="2"/>
      <c r="BA41" s="2"/>
      <c r="BB41" s="2"/>
      <c r="BC41" s="2"/>
      <c r="BD41" s="2"/>
      <c r="BE41" s="2"/>
      <c r="BF41" s="137" t="s">
        <v>80</v>
      </c>
      <c r="BG41" s="137"/>
      <c r="BH41" s="137"/>
      <c r="BI41" s="137"/>
      <c r="BJ41" s="137"/>
      <c r="BK41" s="137"/>
      <c r="BL41" s="137"/>
      <c r="BM41" s="137"/>
      <c r="BN41" s="137"/>
      <c r="BO41" s="137"/>
      <c r="BP41" s="137"/>
      <c r="BQ41" s="137"/>
      <c r="BR41" s="137"/>
      <c r="BS41" s="138" t="n">
        <f aca="false">'стр.2'!C19*9.5/100</f>
        <v>18.05</v>
      </c>
      <c r="BT41" s="138"/>
      <c r="BU41" s="138"/>
      <c r="BV41" s="138"/>
      <c r="BW41" s="138"/>
      <c r="BX41" s="138"/>
      <c r="BY41" s="138"/>
      <c r="BZ41" s="138"/>
      <c r="CA41" s="138"/>
      <c r="CB41" s="138"/>
      <c r="CC41" s="135" t="str">
        <f aca="false">IF(CU37="","",CU37)</f>
        <v/>
      </c>
      <c r="CD41" s="135"/>
      <c r="CE41" s="135"/>
      <c r="CF41" s="135"/>
      <c r="CG41" s="135"/>
      <c r="CH41" s="135"/>
      <c r="CI41" s="135"/>
      <c r="CJ41" s="135"/>
      <c r="CK41" s="135"/>
      <c r="CL41" s="135"/>
    </row>
    <row r="42" customFormat="false" ht="11.25" hidden="false" customHeight="true" outlineLevel="0" collapsed="false">
      <c r="F42" s="103" t="str">
        <f aca="false">MID(A37,81,50)</f>
        <v/>
      </c>
      <c r="G42" s="103"/>
      <c r="H42" s="103"/>
      <c r="I42" s="103"/>
      <c r="J42" s="103"/>
      <c r="K42" s="103"/>
      <c r="L42" s="103"/>
      <c r="M42" s="103"/>
      <c r="N42" s="103"/>
      <c r="O42" s="103"/>
      <c r="P42" s="103"/>
      <c r="Q42" s="103"/>
      <c r="R42" s="103"/>
      <c r="S42" s="103"/>
      <c r="T42" s="103"/>
      <c r="U42" s="103"/>
      <c r="V42" s="103"/>
      <c r="W42" s="103"/>
      <c r="X42" s="103"/>
      <c r="Y42" s="103"/>
      <c r="Z42" s="103"/>
      <c r="AA42" s="103"/>
      <c r="AB42" s="103"/>
      <c r="AC42" s="103"/>
      <c r="AD42" s="103"/>
      <c r="AE42" s="103"/>
      <c r="AF42" s="103"/>
      <c r="AG42" s="103"/>
      <c r="AH42" s="103"/>
      <c r="AI42" s="103"/>
      <c r="AJ42" s="103"/>
      <c r="AK42" s="103"/>
      <c r="AL42" s="103"/>
      <c r="AM42" s="103"/>
      <c r="AN42" s="103"/>
      <c r="AO42" s="103"/>
      <c r="AP42" s="103"/>
      <c r="AQ42" s="103"/>
      <c r="AR42" s="103"/>
      <c r="AS42" s="103"/>
      <c r="AT42" s="103"/>
      <c r="AU42" s="103"/>
      <c r="AV42" s="103"/>
      <c r="AW42" s="103"/>
      <c r="AX42" s="2"/>
      <c r="AY42" s="2" t="s">
        <v>81</v>
      </c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134"/>
      <c r="BT42" s="134"/>
      <c r="BU42" s="134"/>
      <c r="BV42" s="134"/>
      <c r="BW42" s="134"/>
      <c r="BX42" s="134"/>
      <c r="BY42" s="134"/>
      <c r="BZ42" s="134"/>
      <c r="CA42" s="134"/>
      <c r="CB42" s="134"/>
      <c r="CC42" s="135" t="str">
        <f aca="false">IF(CV37="","",CV37)</f>
        <v/>
      </c>
      <c r="CD42" s="135"/>
      <c r="CE42" s="135"/>
      <c r="CF42" s="135"/>
      <c r="CG42" s="135"/>
      <c r="CH42" s="135"/>
      <c r="CI42" s="135"/>
      <c r="CJ42" s="135"/>
      <c r="CK42" s="135"/>
      <c r="CL42" s="135"/>
    </row>
    <row r="43" customFormat="false" ht="9.75" hidden="false" customHeight="true" outlineLevel="0" collapsed="false">
      <c r="F43" s="103" t="str">
        <f aca="false">MID(A37,131,50)</f>
        <v/>
      </c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103"/>
      <c r="W43" s="103"/>
      <c r="X43" s="103"/>
      <c r="Y43" s="103"/>
      <c r="Z43" s="103"/>
      <c r="AA43" s="103"/>
      <c r="AB43" s="103"/>
      <c r="AC43" s="103"/>
      <c r="AD43" s="103"/>
      <c r="AE43" s="103"/>
      <c r="AF43" s="103"/>
      <c r="AG43" s="103"/>
      <c r="AH43" s="103"/>
      <c r="AI43" s="103"/>
      <c r="AJ43" s="103"/>
      <c r="AK43" s="103"/>
      <c r="AL43" s="103"/>
      <c r="AM43" s="103"/>
      <c r="AN43" s="103"/>
      <c r="AO43" s="103"/>
      <c r="AP43" s="103"/>
      <c r="AQ43" s="103"/>
      <c r="AR43" s="103"/>
      <c r="AS43" s="103"/>
      <c r="AT43" s="103"/>
      <c r="AU43" s="103"/>
      <c r="AV43" s="103"/>
      <c r="AW43" s="103"/>
      <c r="AX43" s="0"/>
      <c r="AY43" s="143" t="s">
        <v>82</v>
      </c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144"/>
      <c r="BT43" s="144"/>
      <c r="BU43" s="144"/>
      <c r="BV43" s="144"/>
      <c r="BW43" s="144"/>
      <c r="BX43" s="144"/>
      <c r="BY43" s="144"/>
      <c r="BZ43" s="144"/>
      <c r="CA43" s="144"/>
      <c r="CB43" s="144"/>
      <c r="CC43" s="145" t="str">
        <f aca="false">IF(CW37="","",CW37)</f>
        <v/>
      </c>
      <c r="CD43" s="145"/>
      <c r="CE43" s="145"/>
      <c r="CF43" s="145"/>
      <c r="CG43" s="145"/>
      <c r="CH43" s="145"/>
      <c r="CI43" s="145"/>
      <c r="CJ43" s="145"/>
      <c r="CK43" s="145"/>
      <c r="CL43" s="145"/>
    </row>
    <row r="44" customFormat="false" ht="9.75" hidden="false" customHeight="true" outlineLevel="0" collapsed="false">
      <c r="F44" s="146" t="s">
        <v>83</v>
      </c>
      <c r="G44" s="146"/>
      <c r="H44" s="146"/>
      <c r="I44" s="146"/>
      <c r="J44" s="146"/>
      <c r="K44" s="146"/>
      <c r="L44" s="146"/>
      <c r="M44" s="146"/>
      <c r="N44" s="146"/>
      <c r="O44" s="146"/>
      <c r="P44" s="146"/>
      <c r="Q44" s="146"/>
      <c r="R44" s="146"/>
      <c r="S44" s="146"/>
      <c r="T44" s="146"/>
      <c r="U44" s="146"/>
      <c r="V44" s="146"/>
      <c r="W44" s="146"/>
      <c r="X44" s="146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0"/>
      <c r="AY44" s="113" t="s">
        <v>84</v>
      </c>
      <c r="AZ44" s="113"/>
      <c r="BA44" s="113"/>
      <c r="BB44" s="113"/>
      <c r="BC44" s="113"/>
      <c r="BD44" s="113"/>
      <c r="BE44" s="113"/>
      <c r="BF44" s="113"/>
      <c r="BG44" s="113"/>
      <c r="BH44" s="113"/>
      <c r="BI44" s="113"/>
      <c r="BJ44" s="113"/>
      <c r="BK44" s="113"/>
      <c r="BL44" s="113"/>
      <c r="BM44" s="113"/>
      <c r="BN44" s="113"/>
      <c r="BO44" s="113"/>
      <c r="BP44" s="113"/>
      <c r="BQ44" s="113"/>
      <c r="BR44" s="113"/>
      <c r="BS44" s="113"/>
      <c r="BT44" s="113"/>
      <c r="BU44" s="113"/>
      <c r="BV44" s="113"/>
      <c r="BW44" s="113"/>
      <c r="BX44" s="113"/>
      <c r="BY44" s="113"/>
      <c r="BZ44" s="113"/>
      <c r="CA44" s="113"/>
      <c r="CB44" s="113"/>
      <c r="CC44" s="113"/>
      <c r="CD44" s="113"/>
      <c r="CE44" s="113"/>
      <c r="CF44" s="113"/>
      <c r="CG44" s="113"/>
      <c r="CH44" s="113"/>
      <c r="CI44" s="113"/>
      <c r="CJ44" s="113"/>
      <c r="CK44" s="113"/>
      <c r="CL44" s="113"/>
    </row>
    <row r="45" customFormat="false" ht="11.25" hidden="false" customHeight="true" outlineLevel="0" collapsed="false">
      <c r="A45" s="1" t="n">
        <v>125481</v>
      </c>
      <c r="F45" s="146"/>
      <c r="G45" s="146"/>
      <c r="H45" s="146"/>
      <c r="I45" s="146"/>
      <c r="J45" s="146"/>
      <c r="K45" s="146"/>
      <c r="L45" s="146"/>
      <c r="M45" s="146"/>
      <c r="N45" s="146"/>
      <c r="O45" s="146"/>
      <c r="P45" s="146"/>
      <c r="Q45" s="146"/>
      <c r="R45" s="146"/>
      <c r="S45" s="146"/>
      <c r="T45" s="146"/>
      <c r="U45" s="146"/>
      <c r="V45" s="146"/>
      <c r="W45" s="146"/>
      <c r="X45" s="146"/>
      <c r="Y45" s="98"/>
      <c r="Z45" s="98"/>
      <c r="AA45" s="98"/>
      <c r="AB45" s="98"/>
      <c r="AC45" s="98"/>
      <c r="AD45" s="98"/>
      <c r="AE45" s="98"/>
      <c r="AF45" s="147"/>
      <c r="AG45" s="148" t="s">
        <v>57</v>
      </c>
      <c r="AH45" s="148"/>
      <c r="AI45" s="148"/>
      <c r="AJ45" s="148"/>
      <c r="AK45" s="148"/>
      <c r="AL45" s="148"/>
      <c r="AM45" s="148"/>
      <c r="AN45" s="148"/>
      <c r="AO45" s="148"/>
      <c r="AP45" s="148"/>
      <c r="AQ45" s="148"/>
      <c r="AR45" s="148"/>
      <c r="AS45" s="148"/>
      <c r="AT45" s="148"/>
      <c r="AU45" s="148"/>
      <c r="AV45" s="148"/>
      <c r="AW45" s="2"/>
      <c r="AX45" s="0"/>
      <c r="AY45" s="113" t="s">
        <v>85</v>
      </c>
      <c r="AZ45" s="113"/>
      <c r="BA45" s="113"/>
      <c r="BB45" s="113"/>
      <c r="BC45" s="113"/>
      <c r="BD45" s="113"/>
      <c r="BE45" s="113"/>
      <c r="BF45" s="113"/>
      <c r="BG45" s="113"/>
      <c r="BH45" s="113"/>
      <c r="BI45" s="113"/>
      <c r="BJ45" s="113"/>
      <c r="BK45" s="113"/>
      <c r="BL45" s="113"/>
      <c r="BM45" s="113"/>
      <c r="BN45" s="113"/>
      <c r="BO45" s="113"/>
      <c r="BP45" s="113"/>
      <c r="BQ45" s="113"/>
      <c r="BR45" s="113"/>
      <c r="BS45" s="113"/>
      <c r="BT45" s="113"/>
      <c r="BU45" s="113"/>
      <c r="BV45" s="113"/>
      <c r="BW45" s="113"/>
      <c r="BX45" s="113"/>
      <c r="BY45" s="149" t="n">
        <f aca="false">BZ20+'стр.2'!C19</f>
        <v>30297</v>
      </c>
      <c r="BZ45" s="149"/>
      <c r="CA45" s="149"/>
      <c r="CB45" s="149"/>
      <c r="CC45" s="149"/>
      <c r="CD45" s="149"/>
      <c r="CE45" s="149"/>
      <c r="CF45" s="149"/>
      <c r="CG45" s="149"/>
      <c r="CH45" s="149"/>
      <c r="CI45" s="149"/>
      <c r="CJ45" s="149"/>
      <c r="CK45" s="149"/>
      <c r="CL45" s="149"/>
    </row>
    <row r="46" customFormat="false" ht="10.5" hidden="false" customHeight="true" outlineLevel="0" collapsed="false">
      <c r="F46" s="2"/>
      <c r="G46" s="2"/>
      <c r="H46" s="2"/>
      <c r="I46" s="2"/>
      <c r="J46" s="2"/>
      <c r="K46" s="2"/>
      <c r="L46" s="2"/>
      <c r="M46" s="69" t="s">
        <v>86</v>
      </c>
      <c r="N46" s="69"/>
      <c r="O46" s="69"/>
      <c r="P46" s="69"/>
      <c r="Q46" s="69"/>
      <c r="R46" s="69"/>
      <c r="S46" s="2"/>
      <c r="T46" s="2"/>
      <c r="U46" s="2"/>
      <c r="V46" s="2"/>
      <c r="W46" s="2"/>
      <c r="X46" s="2"/>
      <c r="Y46" s="43" t="s">
        <v>59</v>
      </c>
      <c r="Z46" s="43"/>
      <c r="AA46" s="43"/>
      <c r="AB46" s="43"/>
      <c r="AC46" s="43"/>
      <c r="AD46" s="43"/>
      <c r="AE46" s="43"/>
      <c r="AF46" s="132"/>
      <c r="AG46" s="22" t="s">
        <v>60</v>
      </c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"/>
      <c r="AY46" s="150"/>
      <c r="AZ46" s="2"/>
      <c r="BA46" s="2"/>
      <c r="BB46" s="2"/>
      <c r="BC46" s="2"/>
      <c r="BD46" s="2"/>
      <c r="BE46" s="2"/>
      <c r="BF46" s="2"/>
      <c r="BG46" s="2"/>
      <c r="BH46" s="2"/>
      <c r="BI46" s="69"/>
      <c r="BJ46" s="69"/>
      <c r="BK46" s="69"/>
      <c r="BL46" s="69"/>
      <c r="BM46" s="69"/>
      <c r="BN46" s="69"/>
      <c r="BO46" s="69"/>
      <c r="BP46" s="69"/>
      <c r="BQ46" s="69"/>
      <c r="BR46" s="23"/>
      <c r="BS46" s="151"/>
      <c r="BT46" s="151"/>
      <c r="BU46" s="151"/>
      <c r="BV46" s="151"/>
      <c r="BW46" s="151"/>
      <c r="BX46" s="151"/>
      <c r="BY46" s="151"/>
      <c r="BZ46" s="151"/>
      <c r="CA46" s="151"/>
      <c r="CB46" s="151"/>
      <c r="CC46" s="151"/>
      <c r="CD46" s="151"/>
      <c r="CE46" s="151"/>
      <c r="CF46" s="151"/>
      <c r="CG46" s="151"/>
      <c r="CH46" s="151"/>
      <c r="CI46" s="151"/>
      <c r="CJ46" s="151"/>
      <c r="CK46" s="151"/>
      <c r="CL46" s="151"/>
    </row>
    <row r="47" customFormat="false" ht="11.25" hidden="false" customHeight="true" outlineLevel="0" collapsed="false">
      <c r="F47" s="2"/>
      <c r="G47" s="2"/>
      <c r="H47" s="2"/>
      <c r="I47" s="2"/>
      <c r="J47" s="2"/>
      <c r="K47" s="2"/>
      <c r="L47" s="2"/>
      <c r="M47" s="69"/>
      <c r="N47" s="69"/>
      <c r="O47" s="69"/>
      <c r="P47" s="69"/>
      <c r="Q47" s="69"/>
      <c r="R47" s="69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2"/>
      <c r="BJ47" s="22"/>
      <c r="BK47" s="22"/>
      <c r="BL47" s="22"/>
      <c r="BM47" s="22"/>
      <c r="BN47" s="22"/>
      <c r="BO47" s="22"/>
      <c r="BP47" s="22"/>
      <c r="BQ47" s="22"/>
      <c r="BR47" s="85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</row>
  </sheetData>
  <mergeCells count="157">
    <mergeCell ref="BA1:CL1"/>
    <mergeCell ref="F2:BE2"/>
    <mergeCell ref="BF2:BN2"/>
    <mergeCell ref="BO2:BS2"/>
    <mergeCell ref="BT2:CC2"/>
    <mergeCell ref="W3:Z3"/>
    <mergeCell ref="AB3:AJ3"/>
    <mergeCell ref="AL3:AP3"/>
    <mergeCell ref="AQ3:AR3"/>
    <mergeCell ref="BF3:BN3"/>
    <mergeCell ref="BT3:CC3"/>
    <mergeCell ref="F4:T4"/>
    <mergeCell ref="V4:Y4"/>
    <mergeCell ref="AA4:AI4"/>
    <mergeCell ref="AK4:AO4"/>
    <mergeCell ref="AP4:AQ4"/>
    <mergeCell ref="BZ5:CL6"/>
    <mergeCell ref="F6:R8"/>
    <mergeCell ref="T6:BN8"/>
    <mergeCell ref="BO6:BY6"/>
    <mergeCell ref="BO7:BY7"/>
    <mergeCell ref="BZ7:CL7"/>
    <mergeCell ref="BO8:BY8"/>
    <mergeCell ref="BZ8:CL8"/>
    <mergeCell ref="T9:BN9"/>
    <mergeCell ref="BO9:BY10"/>
    <mergeCell ref="BZ9:CL10"/>
    <mergeCell ref="F10:Z10"/>
    <mergeCell ref="AA10:BN10"/>
    <mergeCell ref="F11:AM11"/>
    <mergeCell ref="AN11:BB11"/>
    <mergeCell ref="BC11:BT11"/>
    <mergeCell ref="BU11:CL11"/>
    <mergeCell ref="F12:Q12"/>
    <mergeCell ref="R12:BB12"/>
    <mergeCell ref="BC12:BT12"/>
    <mergeCell ref="BU12:CL12"/>
    <mergeCell ref="R13:BB13"/>
    <mergeCell ref="F14:W14"/>
    <mergeCell ref="X14:BG14"/>
    <mergeCell ref="BI14:BO14"/>
    <mergeCell ref="BP14:CL14"/>
    <mergeCell ref="F15:AA15"/>
    <mergeCell ref="AB15:AR15"/>
    <mergeCell ref="AS15:BH15"/>
    <mergeCell ref="BI15:BR15"/>
    <mergeCell ref="BS15:CL15"/>
    <mergeCell ref="A16:CL16"/>
    <mergeCell ref="F17:AA17"/>
    <mergeCell ref="AB17:AR17"/>
    <mergeCell ref="AS17:BH17"/>
    <mergeCell ref="BI17:BR17"/>
    <mergeCell ref="BS17:CL17"/>
    <mergeCell ref="B18:N18"/>
    <mergeCell ref="O18:AG18"/>
    <mergeCell ref="AT18:BJ18"/>
    <mergeCell ref="BK18:CO18"/>
    <mergeCell ref="F20:AW21"/>
    <mergeCell ref="AY20:BY20"/>
    <mergeCell ref="BZ20:CL20"/>
    <mergeCell ref="AY21:BH21"/>
    <mergeCell ref="BI21:BQ21"/>
    <mergeCell ref="BS21:CL21"/>
    <mergeCell ref="F22:U22"/>
    <mergeCell ref="V22:AW22"/>
    <mergeCell ref="BI22:BQ22"/>
    <mergeCell ref="BS22:CL22"/>
    <mergeCell ref="V23:AW23"/>
    <mergeCell ref="AY23:CL23"/>
    <mergeCell ref="F24:AW24"/>
    <mergeCell ref="AY24:BH24"/>
    <mergeCell ref="BI24:BQ24"/>
    <mergeCell ref="BS24:CL24"/>
    <mergeCell ref="BI25:BQ25"/>
    <mergeCell ref="BS25:CL25"/>
    <mergeCell ref="F26:AH26"/>
    <mergeCell ref="AJ26:AW26"/>
    <mergeCell ref="AY26:CL26"/>
    <mergeCell ref="F27:S27"/>
    <mergeCell ref="T27:AW27"/>
    <mergeCell ref="AY27:BJ27"/>
    <mergeCell ref="BK27:BS27"/>
    <mergeCell ref="BU27:CL27"/>
    <mergeCell ref="F28:AW28"/>
    <mergeCell ref="BK28:BS28"/>
    <mergeCell ref="BU28:CL28"/>
    <mergeCell ref="F29:AW29"/>
    <mergeCell ref="AY29:BJ30"/>
    <mergeCell ref="BK29:BX29"/>
    <mergeCell ref="BY29:CL29"/>
    <mergeCell ref="AJ30:AW30"/>
    <mergeCell ref="BK30:BX30"/>
    <mergeCell ref="BY30:CL30"/>
    <mergeCell ref="F31:AI31"/>
    <mergeCell ref="AJ31:AW31"/>
    <mergeCell ref="BK31:BX31"/>
    <mergeCell ref="BY31:CL31"/>
    <mergeCell ref="F32:Y32"/>
    <mergeCell ref="Z32:AF32"/>
    <mergeCell ref="AH32:AW32"/>
    <mergeCell ref="AZ32:CL32"/>
    <mergeCell ref="Z33:AF33"/>
    <mergeCell ref="AH33:AW33"/>
    <mergeCell ref="BS33:CL33"/>
    <mergeCell ref="F34:AI35"/>
    <mergeCell ref="AJ34:AW34"/>
    <mergeCell ref="BS34:CB35"/>
    <mergeCell ref="CC34:CL35"/>
    <mergeCell ref="AJ35:AW35"/>
    <mergeCell ref="F36:Y36"/>
    <mergeCell ref="Z36:AF36"/>
    <mergeCell ref="AH36:AW36"/>
    <mergeCell ref="BS36:CB36"/>
    <mergeCell ref="CC36:CL36"/>
    <mergeCell ref="Z37:AF37"/>
    <mergeCell ref="AH37:AW37"/>
    <mergeCell ref="BH37:BR37"/>
    <mergeCell ref="BS37:CB37"/>
    <mergeCell ref="CC37:CL37"/>
    <mergeCell ref="F38:AW38"/>
    <mergeCell ref="AY38:BE38"/>
    <mergeCell ref="BF38:BR38"/>
    <mergeCell ref="BS38:CB38"/>
    <mergeCell ref="CC38:CL38"/>
    <mergeCell ref="F39:AW39"/>
    <mergeCell ref="BF39:BR39"/>
    <mergeCell ref="BS39:CB39"/>
    <mergeCell ref="CC39:CL39"/>
    <mergeCell ref="F40:T40"/>
    <mergeCell ref="U40:AW40"/>
    <mergeCell ref="AY40:BE40"/>
    <mergeCell ref="BF40:BR40"/>
    <mergeCell ref="BS40:CB40"/>
    <mergeCell ref="CC40:CL40"/>
    <mergeCell ref="F41:AW41"/>
    <mergeCell ref="BF41:BR41"/>
    <mergeCell ref="BS41:CB41"/>
    <mergeCell ref="CC41:CL41"/>
    <mergeCell ref="F42:AW42"/>
    <mergeCell ref="BS42:CB42"/>
    <mergeCell ref="CC42:CL42"/>
    <mergeCell ref="F43:AW43"/>
    <mergeCell ref="BS43:CB43"/>
    <mergeCell ref="CC43:CL43"/>
    <mergeCell ref="F44:X45"/>
    <mergeCell ref="AY44:CL44"/>
    <mergeCell ref="Y45:AE45"/>
    <mergeCell ref="AG45:AV45"/>
    <mergeCell ref="AY45:BX45"/>
    <mergeCell ref="BY45:CL45"/>
    <mergeCell ref="M46:R47"/>
    <mergeCell ref="Y46:AE46"/>
    <mergeCell ref="AG46:AW46"/>
    <mergeCell ref="BI46:BQ46"/>
    <mergeCell ref="BS46:CL46"/>
    <mergeCell ref="BI47:BQ47"/>
    <mergeCell ref="BS47:CL47"/>
  </mergeCells>
  <printOptions headings="false" gridLines="false" gridLinesSet="true" horizontalCentered="false" verticalCentered="false"/>
  <pageMargins left="0.7875" right="0.590277777777778" top="0.39375" bottom="0.39375" header="0.511811023622047" footer="0.511811023622047"/>
  <pageSetup paperSize="9" scale="134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1"/>
  <sheetViews>
    <sheetView showFormulas="false" showGridLines="true" showRowColHeaders="true" showZeros="true" rightToLeft="false" tabSelected="true" showOutlineSymbols="true" defaultGridColor="true" view="pageBreakPreview" topLeftCell="A4" colorId="64" zoomScale="100" zoomScaleNormal="100" zoomScalePageLayoutView="100" workbookViewId="0">
      <selection pane="topLeft" activeCell="C9" activeCellId="0" sqref="C9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0.7"/>
    <col collapsed="false" customWidth="true" hidden="false" outlineLevel="0" max="2" min="2" style="0" width="8.99"/>
    <col collapsed="false" customWidth="true" hidden="false" outlineLevel="0" max="3" min="3" style="0" width="17.7"/>
    <col collapsed="false" customWidth="true" hidden="false" outlineLevel="0" max="4" min="4" style="0" width="17.56"/>
    <col collapsed="false" customWidth="true" hidden="false" outlineLevel="0" max="5" min="5" style="0" width="3.85"/>
    <col collapsed="false" customWidth="true" hidden="false" outlineLevel="0" max="8" min="6" style="0" width="3.99"/>
    <col collapsed="false" customWidth="true" hidden="false" outlineLevel="0" max="9" min="9" style="0" width="1.99"/>
    <col collapsed="false" customWidth="true" hidden="false" outlineLevel="0" max="10" min="10" style="0" width="4.99"/>
    <col collapsed="false" customWidth="true" hidden="false" outlineLevel="0" max="11" min="11" style="0" width="4.7"/>
    <col collapsed="false" customWidth="true" hidden="false" outlineLevel="0" max="12" min="12" style="0" width="7.85"/>
    <col collapsed="false" customWidth="true" hidden="false" outlineLevel="0" max="13" min="13" style="0" width="11.85"/>
  </cols>
  <sheetData>
    <row r="1" customFormat="false" ht="19.5" hidden="false" customHeight="true" outlineLevel="0" collapsed="false">
      <c r="A1" s="1"/>
      <c r="B1" s="1"/>
      <c r="C1" s="1"/>
      <c r="D1" s="1"/>
      <c r="L1" s="152" t="s">
        <v>87</v>
      </c>
    </row>
    <row r="2" customFormat="false" ht="11.25" hidden="false" customHeight="true" outlineLevel="0" collapsed="false">
      <c r="A2" s="1"/>
      <c r="B2" s="153" t="s">
        <v>88</v>
      </c>
      <c r="C2" s="154" t="s">
        <v>89</v>
      </c>
      <c r="D2" s="154"/>
      <c r="E2" s="155" t="s">
        <v>90</v>
      </c>
      <c r="F2" s="155"/>
      <c r="G2" s="155"/>
      <c r="H2" s="155"/>
      <c r="I2" s="156" t="s">
        <v>91</v>
      </c>
      <c r="J2" s="156"/>
      <c r="K2" s="157" t="s">
        <v>92</v>
      </c>
      <c r="L2" s="157"/>
    </row>
    <row r="3" customFormat="false" ht="10.5" hidden="false" customHeight="true" outlineLevel="0" collapsed="false">
      <c r="A3" s="1"/>
      <c r="B3" s="153"/>
      <c r="C3" s="158" t="s">
        <v>93</v>
      </c>
      <c r="D3" s="159" t="s">
        <v>94</v>
      </c>
      <c r="E3" s="160" t="s">
        <v>95</v>
      </c>
      <c r="F3" s="160"/>
      <c r="G3" s="161" t="s">
        <v>96</v>
      </c>
      <c r="H3" s="161"/>
      <c r="I3" s="156"/>
      <c r="J3" s="156"/>
      <c r="K3" s="157"/>
      <c r="L3" s="157"/>
    </row>
    <row r="4" customFormat="false" ht="41.25" hidden="false" customHeight="true" outlineLevel="0" collapsed="false">
      <c r="A4" s="1"/>
      <c r="B4" s="153"/>
      <c r="C4" s="158"/>
      <c r="D4" s="159"/>
      <c r="E4" s="162" t="s">
        <v>97</v>
      </c>
      <c r="F4" s="163" t="s">
        <v>98</v>
      </c>
      <c r="G4" s="163" t="s">
        <v>97</v>
      </c>
      <c r="H4" s="164" t="s">
        <v>98</v>
      </c>
      <c r="I4" s="156"/>
      <c r="J4" s="156"/>
      <c r="K4" s="157"/>
      <c r="L4" s="157"/>
    </row>
    <row r="5" customFormat="false" ht="42.75" hidden="false" customHeight="true" outlineLevel="0" collapsed="false">
      <c r="A5" s="1"/>
      <c r="B5" s="165" t="s">
        <v>99</v>
      </c>
      <c r="C5" s="166" t="s">
        <v>100</v>
      </c>
      <c r="D5" s="167" t="s">
        <v>101</v>
      </c>
      <c r="E5" s="105" t="s">
        <v>102</v>
      </c>
      <c r="F5" s="168" t="s">
        <v>103</v>
      </c>
      <c r="G5" s="168" t="s">
        <v>104</v>
      </c>
      <c r="H5" s="169" t="s">
        <v>105</v>
      </c>
      <c r="I5" s="170" t="n">
        <v>95</v>
      </c>
      <c r="J5" s="170"/>
      <c r="K5" s="171"/>
      <c r="L5" s="171"/>
    </row>
    <row r="6" customFormat="false" ht="39.75" hidden="false" customHeight="true" outlineLevel="0" collapsed="false">
      <c r="A6" s="1"/>
      <c r="B6" s="172" t="s">
        <v>106</v>
      </c>
      <c r="C6" s="173" t="s">
        <v>101</v>
      </c>
      <c r="D6" s="174" t="s">
        <v>100</v>
      </c>
      <c r="E6" s="175" t="s">
        <v>107</v>
      </c>
      <c r="F6" s="176" t="s">
        <v>108</v>
      </c>
      <c r="G6" s="176" t="s">
        <v>109</v>
      </c>
      <c r="H6" s="177" t="s">
        <v>110</v>
      </c>
      <c r="I6" s="178" t="n">
        <v>95</v>
      </c>
      <c r="J6" s="178"/>
      <c r="K6" s="179"/>
      <c r="L6" s="179"/>
    </row>
    <row r="7" customFormat="false" ht="31.5" hidden="false" customHeight="true" outlineLevel="0" collapsed="false">
      <c r="A7" s="1"/>
      <c r="B7" s="172"/>
      <c r="C7" s="173"/>
      <c r="D7" s="174"/>
      <c r="E7" s="175"/>
      <c r="F7" s="176"/>
      <c r="G7" s="176"/>
      <c r="H7" s="177"/>
      <c r="I7" s="178"/>
      <c r="J7" s="178"/>
      <c r="K7" s="180"/>
      <c r="L7" s="180"/>
    </row>
    <row r="8" customFormat="false" ht="30" hidden="false" customHeight="true" outlineLevel="0" collapsed="false">
      <c r="A8" s="1"/>
      <c r="B8" s="181"/>
      <c r="C8" s="182"/>
      <c r="D8" s="183"/>
      <c r="E8" s="184"/>
      <c r="F8" s="185"/>
      <c r="G8" s="185"/>
      <c r="H8" s="186"/>
      <c r="I8" s="187"/>
      <c r="J8" s="187"/>
      <c r="K8" s="180"/>
      <c r="L8" s="180"/>
    </row>
    <row r="9" customFormat="false" ht="30" hidden="false" customHeight="true" outlineLevel="0" collapsed="false">
      <c r="A9" s="1"/>
      <c r="B9" s="181"/>
      <c r="C9" s="182"/>
      <c r="D9" s="183"/>
      <c r="E9" s="184"/>
      <c r="F9" s="185"/>
      <c r="G9" s="185"/>
      <c r="H9" s="186"/>
      <c r="I9" s="187"/>
      <c r="J9" s="187"/>
      <c r="K9" s="180"/>
      <c r="L9" s="180"/>
    </row>
    <row r="10" customFormat="false" ht="30" hidden="false" customHeight="true" outlineLevel="0" collapsed="false">
      <c r="A10" s="1"/>
      <c r="B10" s="181"/>
      <c r="C10" s="182"/>
      <c r="D10" s="183"/>
      <c r="E10" s="184"/>
      <c r="F10" s="185"/>
      <c r="G10" s="185"/>
      <c r="H10" s="186"/>
      <c r="I10" s="187"/>
      <c r="J10" s="187"/>
      <c r="K10" s="180"/>
      <c r="L10" s="180"/>
    </row>
    <row r="11" customFormat="false" ht="30" hidden="false" customHeight="true" outlineLevel="0" collapsed="false">
      <c r="A11" s="1"/>
      <c r="B11" s="181"/>
      <c r="C11" s="182"/>
      <c r="D11" s="183"/>
      <c r="E11" s="184"/>
      <c r="F11" s="185"/>
      <c r="G11" s="185"/>
      <c r="H11" s="186"/>
      <c r="I11" s="187"/>
      <c r="J11" s="187"/>
      <c r="K11" s="180"/>
      <c r="L11" s="180"/>
    </row>
    <row r="12" customFormat="false" ht="30" hidden="false" customHeight="true" outlineLevel="0" collapsed="false">
      <c r="A12" s="1"/>
      <c r="B12" s="181"/>
      <c r="C12" s="182"/>
      <c r="D12" s="183"/>
      <c r="E12" s="184"/>
      <c r="F12" s="185"/>
      <c r="G12" s="185"/>
      <c r="H12" s="186"/>
      <c r="I12" s="187"/>
      <c r="J12" s="187"/>
      <c r="K12" s="180"/>
      <c r="L12" s="180"/>
    </row>
    <row r="13" customFormat="false" ht="30" hidden="false" customHeight="true" outlineLevel="0" collapsed="false">
      <c r="A13" s="1"/>
      <c r="B13" s="181"/>
      <c r="C13" s="182"/>
      <c r="D13" s="183"/>
      <c r="E13" s="184"/>
      <c r="F13" s="185"/>
      <c r="G13" s="185"/>
      <c r="H13" s="186"/>
      <c r="I13" s="187"/>
      <c r="J13" s="187"/>
      <c r="K13" s="180"/>
      <c r="L13" s="180"/>
    </row>
    <row r="14" customFormat="false" ht="30" hidden="false" customHeight="true" outlineLevel="0" collapsed="false">
      <c r="A14" s="1"/>
      <c r="B14" s="181"/>
      <c r="C14" s="182"/>
      <c r="D14" s="183"/>
      <c r="E14" s="184"/>
      <c r="F14" s="185"/>
      <c r="G14" s="185"/>
      <c r="H14" s="186"/>
      <c r="I14" s="187"/>
      <c r="J14" s="187"/>
      <c r="K14" s="180"/>
      <c r="L14" s="180"/>
    </row>
    <row r="15" customFormat="false" ht="30" hidden="false" customHeight="true" outlineLevel="0" collapsed="false">
      <c r="A15" s="1"/>
      <c r="B15" s="181"/>
      <c r="C15" s="182"/>
      <c r="D15" s="183"/>
      <c r="E15" s="184"/>
      <c r="F15" s="185"/>
      <c r="G15" s="185"/>
      <c r="H15" s="186"/>
      <c r="I15" s="187"/>
      <c r="J15" s="187"/>
      <c r="K15" s="180"/>
      <c r="L15" s="180"/>
    </row>
    <row r="16" customFormat="false" ht="30" hidden="false" customHeight="true" outlineLevel="0" collapsed="false">
      <c r="A16" s="1"/>
      <c r="B16" s="181"/>
      <c r="C16" s="182"/>
      <c r="D16" s="183"/>
      <c r="E16" s="184"/>
      <c r="F16" s="185"/>
      <c r="G16" s="185"/>
      <c r="H16" s="186"/>
      <c r="I16" s="187"/>
      <c r="J16" s="187"/>
      <c r="K16" s="180"/>
      <c r="L16" s="180"/>
    </row>
    <row r="17" customFormat="false" ht="30" hidden="false" customHeight="true" outlineLevel="0" collapsed="false">
      <c r="A17" s="1"/>
      <c r="B17" s="188"/>
      <c r="C17" s="189"/>
      <c r="D17" s="190"/>
      <c r="E17" s="191"/>
      <c r="F17" s="192"/>
      <c r="G17" s="192"/>
      <c r="H17" s="193"/>
      <c r="I17" s="194"/>
      <c r="J17" s="194"/>
      <c r="K17" s="195"/>
      <c r="L17" s="195"/>
    </row>
    <row r="18" customFormat="false" ht="14.25" hidden="false" customHeight="false" outlineLevel="0" collapsed="false">
      <c r="A18" s="1"/>
      <c r="B18" s="24"/>
      <c r="C18" s="196"/>
      <c r="D18" s="196"/>
      <c r="E18" s="24"/>
      <c r="F18" s="24"/>
      <c r="G18" s="24"/>
      <c r="H18" s="115"/>
      <c r="I18" s="115"/>
      <c r="J18" s="15"/>
      <c r="K18" s="15"/>
      <c r="L18" s="15"/>
    </row>
    <row r="19" customFormat="false" ht="13.5" hidden="false" customHeight="true" outlineLevel="0" collapsed="false">
      <c r="A19" s="29" t="s">
        <v>111</v>
      </c>
      <c r="B19" s="24"/>
      <c r="C19" s="197" t="n">
        <f aca="false">SUM(I5:J7)</f>
        <v>190</v>
      </c>
      <c r="D19" s="197"/>
      <c r="E19" s="23"/>
      <c r="F19" s="198"/>
      <c r="G19" s="198"/>
      <c r="H19" s="199"/>
      <c r="I19" s="199"/>
      <c r="J19" s="200"/>
      <c r="K19" s="200"/>
      <c r="L19" s="200"/>
    </row>
    <row r="20" customFormat="false" ht="5.25" hidden="false" customHeight="true" outlineLevel="0" collapsed="false">
      <c r="A20" s="1"/>
      <c r="B20" s="24"/>
      <c r="C20" s="24"/>
      <c r="D20" s="24"/>
      <c r="E20" s="198"/>
      <c r="F20" s="198"/>
      <c r="G20" s="198"/>
      <c r="H20" s="198"/>
      <c r="I20" s="198"/>
      <c r="J20" s="198"/>
      <c r="K20" s="198"/>
      <c r="L20" s="198"/>
    </row>
    <row r="21" customFormat="false" ht="12.75" hidden="false" customHeight="false" outlineLevel="0" collapsed="false">
      <c r="A21" s="1"/>
      <c r="B21" s="24"/>
      <c r="C21" s="24"/>
      <c r="D21" s="24"/>
      <c r="E21" s="23"/>
      <c r="F21" s="198"/>
      <c r="G21" s="198"/>
      <c r="H21" s="199"/>
      <c r="I21" s="199"/>
      <c r="J21" s="200"/>
      <c r="K21" s="200"/>
      <c r="L21" s="200"/>
    </row>
  </sheetData>
  <mergeCells count="39">
    <mergeCell ref="B2:B4"/>
    <mergeCell ref="C2:D2"/>
    <mergeCell ref="E2:H2"/>
    <mergeCell ref="I2:J4"/>
    <mergeCell ref="K2:L4"/>
    <mergeCell ref="C3:C4"/>
    <mergeCell ref="D3:D4"/>
    <mergeCell ref="E3:F3"/>
    <mergeCell ref="G3:H3"/>
    <mergeCell ref="I5:J5"/>
    <mergeCell ref="K5:L5"/>
    <mergeCell ref="I6:J6"/>
    <mergeCell ref="K6:L6"/>
    <mergeCell ref="I7:J7"/>
    <mergeCell ref="K7:L7"/>
    <mergeCell ref="I8:J8"/>
    <mergeCell ref="K8:L8"/>
    <mergeCell ref="I9:J9"/>
    <mergeCell ref="K9:L9"/>
    <mergeCell ref="I10:J10"/>
    <mergeCell ref="K10:L10"/>
    <mergeCell ref="I11:J11"/>
    <mergeCell ref="K11:L11"/>
    <mergeCell ref="I12:J12"/>
    <mergeCell ref="K12:L12"/>
    <mergeCell ref="I13:J13"/>
    <mergeCell ref="K13:L13"/>
    <mergeCell ref="I14:J14"/>
    <mergeCell ref="K14:L14"/>
    <mergeCell ref="I15:J15"/>
    <mergeCell ref="K15:L15"/>
    <mergeCell ref="I16:J16"/>
    <mergeCell ref="K16:L16"/>
    <mergeCell ref="I17:J17"/>
    <mergeCell ref="K17:L17"/>
    <mergeCell ref="C19:D19"/>
    <mergeCell ref="J19:L19"/>
    <mergeCell ref="E20:L20"/>
    <mergeCell ref="J21:L21"/>
  </mergeCells>
  <printOptions headings="false" gridLines="false" gridLinesSet="true" horizontalCentered="false" verticalCentered="false"/>
  <pageMargins left="0.7875" right="0.7875" top="1.02361111111111" bottom="1.02361111111111" header="0.7875" footer="0.7875"/>
  <pageSetup paperSize="1" scale="105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&amp;C&amp;"Arial,Обычный"&amp;A</oddHeader>
    <oddFooter>&amp;C&amp;"Arial,Обычный"Страница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2021-04-04T20:18:05Z</dcterms:created>
  <dc:creator>Assistentus.ru</dc:creator>
  <dc:description/>
  <dc:language>ru-RU</dc:language>
  <cp:lastModifiedBy>Пользователь Windows</cp:lastModifiedBy>
  <cp:lastPrinted>2023-04-11T12:01:45Z</cp:lastPrinted>
  <dcterms:modified xsi:type="dcterms:W3CDTF">2025-05-27T16:21:31Z</dcterms:modified>
  <cp:revision>0</cp:revision>
  <dc:subject/>
  <dc:title>Форма №3</dc:title>
</cp:coreProperties>
</file>