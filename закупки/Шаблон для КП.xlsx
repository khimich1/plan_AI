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dmin\Desktop\Стройассистент\"/>
    </mc:Choice>
  </mc:AlternateContent>
  <xr:revisionPtr revIDLastSave="0" documentId="13_ncr:1_{BD2879B0-4B42-450C-ABC6-ED5EE96357E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L21" i="1"/>
  <c r="L89" i="1"/>
  <c r="F84" i="1"/>
  <c r="J82" i="1"/>
  <c r="L82" i="1" s="1"/>
  <c r="H82" i="1"/>
  <c r="D82" i="1"/>
  <c r="J81" i="1"/>
  <c r="L81" i="1" s="1"/>
  <c r="H81" i="1"/>
  <c r="D81" i="1"/>
  <c r="J80" i="1"/>
  <c r="L80" i="1" s="1"/>
  <c r="H80" i="1"/>
  <c r="D80" i="1"/>
  <c r="J79" i="1"/>
  <c r="H79" i="1"/>
  <c r="D79" i="1"/>
  <c r="J78" i="1"/>
  <c r="L78" i="1" s="1"/>
  <c r="H78" i="1"/>
  <c r="D78" i="1"/>
  <c r="J77" i="1"/>
  <c r="H77" i="1"/>
  <c r="D77" i="1"/>
  <c r="L71" i="1"/>
  <c r="F66" i="1"/>
  <c r="J64" i="1"/>
  <c r="L64" i="1" s="1"/>
  <c r="H64" i="1"/>
  <c r="D64" i="1"/>
  <c r="J63" i="1"/>
  <c r="L63" i="1" s="1"/>
  <c r="H63" i="1"/>
  <c r="D63" i="1"/>
  <c r="J62" i="1"/>
  <c r="H62" i="1"/>
  <c r="D62" i="1"/>
  <c r="L56" i="1"/>
  <c r="D44" i="1"/>
  <c r="F51" i="1"/>
  <c r="J49" i="1"/>
  <c r="L49" i="1" s="1"/>
  <c r="H49" i="1"/>
  <c r="D49" i="1"/>
  <c r="J48" i="1"/>
  <c r="L48" i="1" s="1"/>
  <c r="H48" i="1"/>
  <c r="D48" i="1"/>
  <c r="J47" i="1"/>
  <c r="L47" i="1" s="1"/>
  <c r="H47" i="1"/>
  <c r="D47" i="1"/>
  <c r="J46" i="1"/>
  <c r="L46" i="1" s="1"/>
  <c r="H46" i="1"/>
  <c r="D46" i="1"/>
  <c r="J45" i="1"/>
  <c r="L45" i="1" s="1"/>
  <c r="H45" i="1"/>
  <c r="D45" i="1"/>
  <c r="J44" i="1"/>
  <c r="L44" i="1" s="1"/>
  <c r="H44" i="1"/>
  <c r="D14" i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H14" i="1"/>
  <c r="F16" i="1"/>
  <c r="D13" i="1"/>
  <c r="D12" i="1"/>
  <c r="H13" i="1"/>
  <c r="H12" i="1"/>
  <c r="K76" i="1" l="1"/>
  <c r="K77" i="1" s="1"/>
  <c r="M77" i="1" s="1"/>
  <c r="K43" i="1"/>
  <c r="K78" i="1"/>
  <c r="M78" i="1" s="1"/>
  <c r="K46" i="1"/>
  <c r="K6" i="1"/>
  <c r="K12" i="1" s="1"/>
  <c r="K80" i="1"/>
  <c r="M80" i="1" s="1"/>
  <c r="K82" i="1"/>
  <c r="M82" i="1" s="1"/>
  <c r="K79" i="1"/>
  <c r="M79" i="1" s="1"/>
  <c r="C84" i="1"/>
  <c r="K81" i="1"/>
  <c r="M81" i="1" s="1"/>
  <c r="H84" i="1"/>
  <c r="L77" i="1"/>
  <c r="L79" i="1"/>
  <c r="K61" i="1"/>
  <c r="K62" i="1" s="1"/>
  <c r="H66" i="1"/>
  <c r="L62" i="1"/>
  <c r="C66" i="1"/>
  <c r="H51" i="1"/>
  <c r="C51" i="1"/>
  <c r="F34" i="1"/>
  <c r="K28" i="1" s="1"/>
  <c r="J32" i="1"/>
  <c r="H32" i="1"/>
  <c r="D32" i="1"/>
  <c r="J31" i="1"/>
  <c r="L31" i="1" s="1"/>
  <c r="H31" i="1"/>
  <c r="D31" i="1"/>
  <c r="J30" i="1"/>
  <c r="L30" i="1" s="1"/>
  <c r="H30" i="1"/>
  <c r="D30" i="1"/>
  <c r="J29" i="1"/>
  <c r="H29" i="1"/>
  <c r="D29" i="1"/>
  <c r="H11" i="1"/>
  <c r="D11" i="1"/>
  <c r="H10" i="1"/>
  <c r="D10" i="1"/>
  <c r="H9" i="1"/>
  <c r="D9" i="1"/>
  <c r="H8" i="1"/>
  <c r="D8" i="1"/>
  <c r="J7" i="1"/>
  <c r="H7" i="1"/>
  <c r="D7" i="1"/>
  <c r="K64" i="1" l="1"/>
  <c r="M64" i="1" s="1"/>
  <c r="K7" i="1"/>
  <c r="L32" i="1"/>
  <c r="K32" i="1"/>
  <c r="M32" i="1" s="1"/>
  <c r="L29" i="1"/>
  <c r="K29" i="1"/>
  <c r="K45" i="1"/>
  <c r="K49" i="1"/>
  <c r="K44" i="1"/>
  <c r="K63" i="1"/>
  <c r="M63" i="1" s="1"/>
  <c r="M62" i="1"/>
  <c r="M84" i="1"/>
  <c r="M85" i="1" s="1"/>
  <c r="C16" i="1"/>
  <c r="K47" i="1"/>
  <c r="K48" i="1"/>
  <c r="H16" i="1"/>
  <c r="L7" i="1"/>
  <c r="H34" i="1"/>
  <c r="C34" i="1"/>
  <c r="M66" i="1" l="1"/>
  <c r="M67" i="1" s="1"/>
  <c r="K30" i="1"/>
  <c r="M30" i="1" s="1"/>
  <c r="K31" i="1"/>
  <c r="M31" i="1" s="1"/>
  <c r="M29" i="1"/>
  <c r="M49" i="1"/>
  <c r="M45" i="1"/>
  <c r="M46" i="1"/>
  <c r="M44" i="1"/>
  <c r="M48" i="1"/>
  <c r="M47" i="1"/>
  <c r="M7" i="1"/>
  <c r="K10" i="1"/>
  <c r="M10" i="1" s="1"/>
  <c r="K11" i="1"/>
  <c r="M11" i="1" s="1"/>
  <c r="K8" i="1"/>
  <c r="M8" i="1" s="1"/>
  <c r="K9" i="1"/>
  <c r="M9" i="1" s="1"/>
  <c r="M12" i="1"/>
  <c r="K13" i="1"/>
  <c r="M13" i="1" s="1"/>
  <c r="K14" i="1"/>
  <c r="M14" i="1" s="1"/>
  <c r="M16" i="1" l="1"/>
  <c r="M17" i="1" s="1"/>
  <c r="M34" i="1"/>
  <c r="M35" i="1" s="1"/>
  <c r="M51" i="1"/>
  <c r="M52" i="1" s="1"/>
</calcChain>
</file>

<file path=xl/sharedStrings.xml><?xml version="1.0" encoding="utf-8"?>
<sst xmlns="http://schemas.openxmlformats.org/spreadsheetml/2006/main" count="132" uniqueCount="49">
  <si>
    <t>Наименование материалов, конструкций, изделий, оборудования</t>
  </si>
  <si>
    <t>Единица  измер.</t>
  </si>
  <si>
    <t>Кол-во</t>
  </si>
  <si>
    <t>шт</t>
  </si>
  <si>
    <t>Наценка, %</t>
  </si>
  <si>
    <t>Цена закупки с НДС (без доставки), руб</t>
  </si>
  <si>
    <t>ИТОГО:</t>
  </si>
  <si>
    <t>Сумма цены закупки, руб</t>
  </si>
  <si>
    <t>Цена продажи (без доставки), руб</t>
  </si>
  <si>
    <t>Цена продажи с (доставкой), руб</t>
  </si>
  <si>
    <t>Сумма продажи (без доставки), руб</t>
  </si>
  <si>
    <t>Сумма продажи с (доставкой), руб</t>
  </si>
  <si>
    <t>Стоимость 1 рейса:</t>
  </si>
  <si>
    <t>Маржа, руб:</t>
  </si>
  <si>
    <t>Вес, т</t>
  </si>
  <si>
    <t>Плиты теплотрасс П 11-8</t>
  </si>
  <si>
    <t>Плиты теплотрасс П 12-15</t>
  </si>
  <si>
    <t>Плита теплотрасс П9-15</t>
  </si>
  <si>
    <t>Плита теплотрасс П9д-15</t>
  </si>
  <si>
    <t>Плиты перекрытий колодцев и камер ППК129.29.15-2</t>
  </si>
  <si>
    <t>АРСЕНАЛ</t>
  </si>
  <si>
    <t>Для вывоза заказа необходимо 7 машин</t>
  </si>
  <si>
    <t>ФБС 24.6.6-т</t>
  </si>
  <si>
    <t>ФБС 12.6.6-т</t>
  </si>
  <si>
    <t>ФБС 12.6.3-т</t>
  </si>
  <si>
    <t>ФБС 9.6.6-т</t>
  </si>
  <si>
    <t>Лотки Л6-8/2 и</t>
  </si>
  <si>
    <t>Лотки Л6-15/2 и</t>
  </si>
  <si>
    <t>Лотки Л11-15/2и</t>
  </si>
  <si>
    <t>ВЫСОКОВО</t>
  </si>
  <si>
    <t>Кольцо стеновое КС 10-6 з</t>
  </si>
  <si>
    <t>Кольцо стеновое КС 10-9 з</t>
  </si>
  <si>
    <t>Кольцо стеновое КС 10-3 з</t>
  </si>
  <si>
    <t>Кольцо опорное КО 6</t>
  </si>
  <si>
    <t>Плита днища ПН 10 (d=1.16 м)</t>
  </si>
  <si>
    <t>Плита перекрытия 2 нагрузка ПП 10 (2)</t>
  </si>
  <si>
    <t>Для вывоза заказа необходима 1  машина</t>
  </si>
  <si>
    <t>БУ-15м</t>
  </si>
  <si>
    <t>БУ-13м</t>
  </si>
  <si>
    <t>БУ-30-1м</t>
  </si>
  <si>
    <t>Л11-8 (L=2970)</t>
  </si>
  <si>
    <t>Л11д-8 (L=740)</t>
  </si>
  <si>
    <t>П8-8 (L=2990)</t>
  </si>
  <si>
    <t>ОП3</t>
  </si>
  <si>
    <t>ОП2</t>
  </si>
  <si>
    <t>ОП1</t>
  </si>
  <si>
    <t>Для вывоза заказа необходимо 6  машин</t>
  </si>
  <si>
    <t>=</t>
  </si>
  <si>
    <t>Для вывоза заказа необходимо 10 машин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</si>
</sst>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" fontId="0" fillId="0" borderId="1" xfId="0" applyNumberFormat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4" fontId="0" fillId="0" borderId="0" xfId="0" applyNumberForma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horizontal="center"/>
    </xf>
    <xf numFmtId="0" fontId="7" fillId="0" borderId="1" xfId="0" applyFont="1" applyBorder="1"/>
    <xf numFmtId="4" fontId="5" fillId="2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0"/>
  <sheetViews>
    <sheetView tabSelected="1" zoomScaleNormal="100" workbookViewId="0">
      <selection activeCell="I77" sqref="I77:I82"/>
    </sheetView>
  </sheetViews>
  <sheetFormatPr defaultRowHeight="14.4" x14ac:dyDescent="0.3"/>
  <cols>
    <col min="1" max="1" width="7.44140625" customWidth="1"/>
    <col min="2" max="2" width="49" customWidth="1"/>
    <col min="3" max="3" width="9.44140625" customWidth="1"/>
    <col min="4" max="4" width="10.109375" customWidth="1"/>
    <col min="5" max="5" width="11.21875" customWidth="1"/>
    <col min="6" max="6" width="12.44140625" customWidth="1"/>
    <col min="7" max="8" width="13.77734375" customWidth="1"/>
    <col min="9" max="9" width="12" customWidth="1"/>
    <col min="10" max="10" width="15.44140625" customWidth="1"/>
    <col min="11" max="12" width="14.77734375" customWidth="1"/>
    <col min="13" max="13" width="15.33203125" customWidth="1"/>
  </cols>
  <sheetData>
    <row r="2" spans="2:13" x14ac:dyDescent="0.3">
      <c r="M2" s="15"/>
    </row>
    <row r="3" spans="2:13" x14ac:dyDescent="0.3">
      <c r="B3" s="27" t="s">
        <v>20</v>
      </c>
    </row>
    <row r="5" spans="2:13" ht="57.6" x14ac:dyDescent="0.3">
      <c r="B5" s="11" t="s">
        <v>0</v>
      </c>
      <c r="C5" s="11" t="s">
        <v>14</v>
      </c>
      <c r="D5" s="11"/>
      <c r="E5" s="11" t="s">
        <v>1</v>
      </c>
      <c r="F5" s="11" t="s">
        <v>2</v>
      </c>
      <c r="G5" s="11" t="s">
        <v>5</v>
      </c>
      <c r="H5" s="11" t="s">
        <v>7</v>
      </c>
      <c r="I5" s="11" t="s">
        <v>4</v>
      </c>
      <c r="J5" s="11" t="s">
        <v>8</v>
      </c>
      <c r="K5" s="11" t="s">
        <v>9</v>
      </c>
      <c r="L5" s="11" t="s">
        <v>10</v>
      </c>
      <c r="M5" s="11" t="s">
        <v>11</v>
      </c>
    </row>
    <row r="6" spans="2:13" x14ac:dyDescent="0.3">
      <c r="B6" s="11"/>
      <c r="C6" s="11"/>
      <c r="D6" s="11"/>
      <c r="E6" s="11"/>
      <c r="F6" s="11"/>
      <c r="G6" s="11"/>
      <c r="H6" s="11"/>
      <c r="I6" s="11"/>
      <c r="J6" s="11"/>
      <c r="K6" s="16" t="e">
        <f>L21/F16</f>
        <v>#DIV/0!</v>
      </c>
      <c r="L6" s="11"/>
      <c r="M6" s="11"/>
    </row>
    <row r="7" spans="2:13" x14ac:dyDescent="0.3">
      <c r="B7" s="23" t="s">
        <v>15</v>
      </c>
      <c r="C7" s="22">
        <v>1.1000000000000001</v>
      </c>
      <c r="D7" s="25">
        <f t="shared" ref="D7:D14" si="0">C7*F7</f>
        <v>0</v>
      </c>
      <c r="E7" s="19" t="s">
        <v>3</v>
      </c>
      <c r="F7" s="19">
        <v>0</v>
      </c>
      <c r="G7" s="20">
        <v>0</v>
      </c>
      <c r="H7" s="20">
        <f t="shared" ref="H7:H14" si="1">F7*G7</f>
        <v>0</v>
      </c>
      <c r="I7" s="26">
        <v>0.03</v>
      </c>
      <c r="J7" s="20">
        <f t="shared" ref="J7:J14" si="2">G7+(G7*I7)</f>
        <v>0</v>
      </c>
      <c r="K7" s="17" t="e">
        <f>J7+$K$6</f>
        <v>#DIV/0!</v>
      </c>
      <c r="L7" s="20">
        <f t="shared" ref="L7:L14" si="3">F7*J7</f>
        <v>0</v>
      </c>
      <c r="M7" s="20" t="e">
        <f t="shared" ref="M7:M14" si="4">F7*K7</f>
        <v>#DIV/0!</v>
      </c>
    </row>
    <row r="8" spans="2:13" x14ac:dyDescent="0.3">
      <c r="B8" s="23" t="s">
        <v>16</v>
      </c>
      <c r="C8" s="22">
        <v>1.77</v>
      </c>
      <c r="D8" s="25">
        <f t="shared" si="0"/>
        <v>0</v>
      </c>
      <c r="E8" s="19" t="s">
        <v>3</v>
      </c>
      <c r="F8" s="19">
        <v>0</v>
      </c>
      <c r="G8" s="20">
        <v>0</v>
      </c>
      <c r="H8" s="20">
        <f t="shared" si="1"/>
        <v>0</v>
      </c>
      <c r="I8" s="26">
        <v>0.03</v>
      </c>
      <c r="J8" s="20">
        <f t="shared" si="2"/>
        <v>0</v>
      </c>
      <c r="K8" s="17" t="e">
        <f t="shared" ref="K8:K14" si="5">J8+$K$6</f>
        <v>#DIV/0!</v>
      </c>
      <c r="L8" s="20">
        <f t="shared" si="3"/>
        <v>0</v>
      </c>
      <c r="M8" s="20" t="e">
        <f t="shared" si="4"/>
        <v>#DIV/0!</v>
      </c>
    </row>
    <row r="9" spans="2:13" x14ac:dyDescent="0.3">
      <c r="B9" s="23" t="s">
        <v>17</v>
      </c>
      <c r="C9" s="22">
        <v>1.05</v>
      </c>
      <c r="D9" s="25">
        <f t="shared" si="0"/>
        <v>0</v>
      </c>
      <c r="E9" s="19" t="s">
        <v>3</v>
      </c>
      <c r="F9" s="19">
        <v>0</v>
      </c>
      <c r="G9" s="20">
        <v>0</v>
      </c>
      <c r="H9" s="20">
        <f t="shared" si="1"/>
        <v>0</v>
      </c>
      <c r="I9" s="26">
        <v>0.03</v>
      </c>
      <c r="J9" s="20">
        <f t="shared" si="2"/>
        <v>0</v>
      </c>
      <c r="K9" s="17" t="e">
        <f t="shared" si="5"/>
        <v>#DIV/0!</v>
      </c>
      <c r="L9" s="20">
        <f t="shared" si="3"/>
        <v>0</v>
      </c>
      <c r="M9" s="20" t="e">
        <f t="shared" si="4"/>
        <v>#DIV/0!</v>
      </c>
    </row>
    <row r="10" spans="2:13" x14ac:dyDescent="0.3">
      <c r="B10" s="23" t="s">
        <v>18</v>
      </c>
      <c r="C10" s="22">
        <v>0.26</v>
      </c>
      <c r="D10" s="25">
        <f t="shared" si="0"/>
        <v>0</v>
      </c>
      <c r="E10" s="19" t="s">
        <v>3</v>
      </c>
      <c r="F10" s="19">
        <v>0</v>
      </c>
      <c r="G10" s="20">
        <v>0</v>
      </c>
      <c r="H10" s="20">
        <f t="shared" si="1"/>
        <v>0</v>
      </c>
      <c r="I10" s="26">
        <v>0.03</v>
      </c>
      <c r="J10" s="20">
        <f t="shared" si="2"/>
        <v>0</v>
      </c>
      <c r="K10" s="17" t="e">
        <f t="shared" si="5"/>
        <v>#DIV/0!</v>
      </c>
      <c r="L10" s="20">
        <f t="shared" si="3"/>
        <v>0</v>
      </c>
      <c r="M10" s="20" t="e">
        <f t="shared" si="4"/>
        <v>#DIV/0!</v>
      </c>
    </row>
    <row r="11" spans="2:13" x14ac:dyDescent="0.3">
      <c r="B11" s="23" t="s">
        <v>19</v>
      </c>
      <c r="C11" s="22">
        <v>2.125</v>
      </c>
      <c r="D11" s="25">
        <f t="shared" si="0"/>
        <v>0</v>
      </c>
      <c r="E11" s="19" t="s">
        <v>3</v>
      </c>
      <c r="F11" s="19">
        <v>0</v>
      </c>
      <c r="G11" s="20">
        <v>0</v>
      </c>
      <c r="H11" s="20">
        <f t="shared" si="1"/>
        <v>0</v>
      </c>
      <c r="I11" s="26">
        <v>0.03</v>
      </c>
      <c r="J11" s="20">
        <f t="shared" si="2"/>
        <v>0</v>
      </c>
      <c r="K11" s="17" t="e">
        <f t="shared" si="5"/>
        <v>#DIV/0!</v>
      </c>
      <c r="L11" s="20">
        <f t="shared" si="3"/>
        <v>0</v>
      </c>
      <c r="M11" s="20" t="e">
        <f t="shared" si="4"/>
        <v>#DIV/0!</v>
      </c>
    </row>
    <row r="12" spans="2:13" x14ac:dyDescent="0.3">
      <c r="B12" s="23" t="s">
        <v>26</v>
      </c>
      <c r="C12" s="22">
        <v>1.2</v>
      </c>
      <c r="D12" s="25">
        <f t="shared" si="0"/>
        <v>0</v>
      </c>
      <c r="E12" s="19" t="s">
        <v>3</v>
      </c>
      <c r="F12" s="19">
        <v>0</v>
      </c>
      <c r="G12" s="20">
        <v>0</v>
      </c>
      <c r="H12" s="20">
        <f t="shared" si="1"/>
        <v>0</v>
      </c>
      <c r="I12" s="26">
        <v>0.03</v>
      </c>
      <c r="J12" s="20">
        <f t="shared" si="2"/>
        <v>0</v>
      </c>
      <c r="K12" s="17" t="e">
        <f>J12+$K$6</f>
        <v>#DIV/0!</v>
      </c>
      <c r="L12" s="20">
        <f t="shared" si="3"/>
        <v>0</v>
      </c>
      <c r="M12" s="20" t="e">
        <f t="shared" si="4"/>
        <v>#DIV/0!</v>
      </c>
    </row>
    <row r="13" spans="2:13" x14ac:dyDescent="0.3">
      <c r="B13" s="23" t="s">
        <v>27</v>
      </c>
      <c r="C13" s="22">
        <v>1.1299999999999999</v>
      </c>
      <c r="D13" s="25">
        <f t="shared" si="0"/>
        <v>0</v>
      </c>
      <c r="E13" s="19" t="s">
        <v>3</v>
      </c>
      <c r="F13" s="19">
        <v>0</v>
      </c>
      <c r="G13" s="20">
        <v>0</v>
      </c>
      <c r="H13" s="20">
        <f t="shared" si="1"/>
        <v>0</v>
      </c>
      <c r="I13" s="26">
        <v>0.03</v>
      </c>
      <c r="J13" s="20">
        <f t="shared" si="2"/>
        <v>0</v>
      </c>
      <c r="K13" s="17" t="e">
        <f t="shared" si="5"/>
        <v>#DIV/0!</v>
      </c>
      <c r="L13" s="20">
        <f t="shared" si="3"/>
        <v>0</v>
      </c>
      <c r="M13" s="20" t="e">
        <f t="shared" si="4"/>
        <v>#DIV/0!</v>
      </c>
    </row>
    <row r="14" spans="2:13" x14ac:dyDescent="0.3">
      <c r="B14" s="23" t="s">
        <v>28</v>
      </c>
      <c r="C14" s="22">
        <v>1.8</v>
      </c>
      <c r="D14" s="25">
        <f t="shared" si="0"/>
        <v>0</v>
      </c>
      <c r="E14" s="19" t="s">
        <v>3</v>
      </c>
      <c r="F14" s="19">
        <v>0</v>
      </c>
      <c r="G14" s="20">
        <v>0</v>
      </c>
      <c r="H14" s="20">
        <f t="shared" si="1"/>
        <v>0</v>
      </c>
      <c r="I14" s="26">
        <v>0.03</v>
      </c>
      <c r="J14" s="20">
        <f t="shared" si="2"/>
        <v>0</v>
      </c>
      <c r="K14" s="17" t="e">
        <f t="shared" si="5"/>
        <v>#DIV/0!</v>
      </c>
      <c r="L14" s="20">
        <f t="shared" si="3"/>
        <v>0</v>
      </c>
      <c r="M14" s="20" t="e">
        <f t="shared" si="4"/>
        <v>#DIV/0!</v>
      </c>
    </row>
    <row r="15" spans="2:13" x14ac:dyDescent="0.3">
      <c r="B15" s="7"/>
      <c r="C15" s="8"/>
      <c r="D15" s="8"/>
      <c r="E15" s="8"/>
      <c r="F15" s="8"/>
      <c r="G15" s="9"/>
      <c r="H15" s="9"/>
      <c r="I15" s="26"/>
      <c r="J15" s="10"/>
      <c r="K15" s="18"/>
      <c r="L15" s="20"/>
      <c r="M15" s="10"/>
    </row>
    <row r="16" spans="2:13" ht="15.6" x14ac:dyDescent="0.3">
      <c r="B16" s="3" t="s">
        <v>6</v>
      </c>
      <c r="C16" s="24">
        <f>SUM(D7:D14)</f>
        <v>0</v>
      </c>
      <c r="D16" s="3"/>
      <c r="E16" s="2"/>
      <c r="F16" s="4">
        <f>SUM(F7:F14)</f>
        <v>0</v>
      </c>
      <c r="G16" s="5"/>
      <c r="H16" s="5">
        <f>SUM(H7:H14)</f>
        <v>0</v>
      </c>
      <c r="I16" s="5"/>
      <c r="J16" s="5"/>
      <c r="K16" s="5"/>
      <c r="L16" s="5"/>
      <c r="M16" s="5" t="e">
        <f>SUM(M7:M14)</f>
        <v>#DIV/0!</v>
      </c>
    </row>
    <row r="17" spans="2:13" x14ac:dyDescent="0.3">
      <c r="L17" s="14" t="s">
        <v>13</v>
      </c>
      <c r="M17" s="13" t="e">
        <f>M16-H16-L21</f>
        <v>#DIV/0!</v>
      </c>
    </row>
    <row r="18" spans="2:13" x14ac:dyDescent="0.3">
      <c r="G18" s="15"/>
      <c r="M18" s="6"/>
    </row>
    <row r="20" spans="2:13" x14ac:dyDescent="0.3">
      <c r="B20" s="21"/>
      <c r="C20" s="21"/>
      <c r="D20" s="21"/>
      <c r="I20" s="28" t="s">
        <v>12</v>
      </c>
      <c r="J20" s="28"/>
      <c r="K20" s="28"/>
      <c r="L20" s="1">
        <v>13500</v>
      </c>
      <c r="M20" s="6"/>
    </row>
    <row r="21" spans="2:13" x14ac:dyDescent="0.3">
      <c r="I21" s="29" t="s">
        <v>48</v>
      </c>
      <c r="J21" s="29"/>
      <c r="K21" s="29"/>
      <c r="L21" s="12">
        <f>L20*10</f>
        <v>135000</v>
      </c>
    </row>
    <row r="23" spans="2:13" x14ac:dyDescent="0.3">
      <c r="M23" s="15"/>
    </row>
    <row r="25" spans="2:13" x14ac:dyDescent="0.3">
      <c r="B25" s="27" t="s">
        <v>29</v>
      </c>
    </row>
    <row r="27" spans="2:13" ht="57.6" x14ac:dyDescent="0.3">
      <c r="B27" s="11" t="s">
        <v>0</v>
      </c>
      <c r="C27" s="11" t="s">
        <v>14</v>
      </c>
      <c r="D27" s="11"/>
      <c r="E27" s="11" t="s">
        <v>1</v>
      </c>
      <c r="F27" s="11" t="s">
        <v>2</v>
      </c>
      <c r="G27" s="11" t="s">
        <v>5</v>
      </c>
      <c r="H27" s="11" t="s">
        <v>7</v>
      </c>
      <c r="I27" s="11" t="s">
        <v>4</v>
      </c>
      <c r="J27" s="11" t="s">
        <v>8</v>
      </c>
      <c r="K27" s="11" t="s">
        <v>9</v>
      </c>
      <c r="L27" s="11" t="s">
        <v>10</v>
      </c>
      <c r="M27" s="11" t="s">
        <v>11</v>
      </c>
    </row>
    <row r="28" spans="2:13" x14ac:dyDescent="0.3">
      <c r="B28" s="11"/>
      <c r="C28" s="11"/>
      <c r="D28" s="11"/>
      <c r="E28" s="11"/>
      <c r="F28" s="11"/>
      <c r="G28" s="11"/>
      <c r="H28" s="11"/>
      <c r="I28" s="11"/>
      <c r="J28" s="11"/>
      <c r="K28" s="16" t="e">
        <f>L39/F34</f>
        <v>#DIV/0!</v>
      </c>
      <c r="L28" s="11"/>
      <c r="M28" s="11"/>
    </row>
    <row r="29" spans="2:13" x14ac:dyDescent="0.3">
      <c r="B29" s="23" t="s">
        <v>22</v>
      </c>
      <c r="C29" s="22">
        <v>1.96</v>
      </c>
      <c r="D29" s="25">
        <f t="shared" ref="D29:D32" si="6">C29*F29</f>
        <v>0</v>
      </c>
      <c r="E29" s="19" t="s">
        <v>3</v>
      </c>
      <c r="F29" s="19">
        <v>0</v>
      </c>
      <c r="G29" s="20">
        <v>0</v>
      </c>
      <c r="H29" s="20">
        <f t="shared" ref="H29:H32" si="7">F29*G29</f>
        <v>0</v>
      </c>
      <c r="I29" s="26">
        <v>0.03</v>
      </c>
      <c r="J29" s="20">
        <f t="shared" ref="J29:J32" si="8">G29+(G29*I29)</f>
        <v>0</v>
      </c>
      <c r="K29" s="17" t="e">
        <f>J29+$K$28</f>
        <v>#DIV/0!</v>
      </c>
      <c r="L29" s="20">
        <f t="shared" ref="L29:L32" si="9">F29*J29</f>
        <v>0</v>
      </c>
      <c r="M29" s="20" t="e">
        <f t="shared" ref="M29:M31" si="10">F29*K29</f>
        <v>#DIV/0!</v>
      </c>
    </row>
    <row r="30" spans="2:13" x14ac:dyDescent="0.3">
      <c r="B30" s="23" t="s">
        <v>23</v>
      </c>
      <c r="C30" s="22">
        <v>0.96</v>
      </c>
      <c r="D30" s="25">
        <f t="shared" si="6"/>
        <v>0</v>
      </c>
      <c r="E30" s="19" t="s">
        <v>3</v>
      </c>
      <c r="F30" s="19">
        <v>0</v>
      </c>
      <c r="G30" s="20">
        <v>0</v>
      </c>
      <c r="H30" s="20">
        <f t="shared" si="7"/>
        <v>0</v>
      </c>
      <c r="I30" s="26">
        <v>0.03</v>
      </c>
      <c r="J30" s="20">
        <f t="shared" si="8"/>
        <v>0</v>
      </c>
      <c r="K30" s="17" t="e">
        <f t="shared" ref="K30:K31" si="11">J30+$K$28</f>
        <v>#DIV/0!</v>
      </c>
      <c r="L30" s="20">
        <f t="shared" si="9"/>
        <v>0</v>
      </c>
      <c r="M30" s="20" t="e">
        <f t="shared" si="10"/>
        <v>#DIV/0!</v>
      </c>
    </row>
    <row r="31" spans="2:13" x14ac:dyDescent="0.3">
      <c r="B31" s="23" t="s">
        <v>24</v>
      </c>
      <c r="C31" s="22">
        <v>0.46</v>
      </c>
      <c r="D31" s="25">
        <f t="shared" si="6"/>
        <v>0</v>
      </c>
      <c r="E31" s="19" t="s">
        <v>3</v>
      </c>
      <c r="F31" s="19">
        <v>0</v>
      </c>
      <c r="G31" s="20">
        <v>0</v>
      </c>
      <c r="H31" s="20">
        <f t="shared" si="7"/>
        <v>0</v>
      </c>
      <c r="I31" s="26">
        <v>0.03</v>
      </c>
      <c r="J31" s="20">
        <f t="shared" si="8"/>
        <v>0</v>
      </c>
      <c r="K31" s="17" t="e">
        <f t="shared" si="11"/>
        <v>#DIV/0!</v>
      </c>
      <c r="L31" s="20">
        <f t="shared" si="9"/>
        <v>0</v>
      </c>
      <c r="M31" s="20" t="e">
        <f t="shared" si="10"/>
        <v>#DIV/0!</v>
      </c>
    </row>
    <row r="32" spans="2:13" x14ac:dyDescent="0.3">
      <c r="B32" s="23" t="s">
        <v>25</v>
      </c>
      <c r="C32" s="22">
        <v>0.74</v>
      </c>
      <c r="D32" s="25">
        <f t="shared" si="6"/>
        <v>0</v>
      </c>
      <c r="E32" s="19" t="s">
        <v>3</v>
      </c>
      <c r="F32" s="19">
        <v>0</v>
      </c>
      <c r="G32" s="20">
        <v>0</v>
      </c>
      <c r="H32" s="20">
        <f t="shared" si="7"/>
        <v>0</v>
      </c>
      <c r="I32" s="26">
        <v>0.03</v>
      </c>
      <c r="J32" s="20">
        <f t="shared" si="8"/>
        <v>0</v>
      </c>
      <c r="K32" s="17" t="e">
        <f>J32+$K$28</f>
        <v>#DIV/0!</v>
      </c>
      <c r="L32" s="20">
        <f t="shared" si="9"/>
        <v>0</v>
      </c>
      <c r="M32" s="20" t="e">
        <f>F32*K32</f>
        <v>#DIV/0!</v>
      </c>
    </row>
    <row r="33" spans="2:13" x14ac:dyDescent="0.3">
      <c r="B33" s="7"/>
      <c r="C33" s="8"/>
      <c r="D33" s="8"/>
      <c r="E33" s="8"/>
      <c r="F33" s="8"/>
      <c r="G33" s="9"/>
      <c r="H33" s="9"/>
      <c r="I33" s="26"/>
      <c r="J33" s="10"/>
      <c r="K33" s="18"/>
      <c r="L33" s="20"/>
      <c r="M33" s="10"/>
    </row>
    <row r="34" spans="2:13" ht="15.6" x14ac:dyDescent="0.3">
      <c r="B34" s="3" t="s">
        <v>6</v>
      </c>
      <c r="C34" s="24">
        <f>SUM(D29:D32)</f>
        <v>0</v>
      </c>
      <c r="D34" s="3"/>
      <c r="E34" s="2"/>
      <c r="F34" s="4">
        <f>SUM(F29:F32)</f>
        <v>0</v>
      </c>
      <c r="G34" s="5"/>
      <c r="H34" s="5">
        <f>SUM(H29:H32)</f>
        <v>0</v>
      </c>
      <c r="I34" s="5"/>
      <c r="J34" s="5"/>
      <c r="K34" s="5"/>
      <c r="L34" s="5"/>
      <c r="M34" s="5" t="e">
        <f>SUM(M29:M32)</f>
        <v>#DIV/0!</v>
      </c>
    </row>
    <row r="35" spans="2:13" x14ac:dyDescent="0.3">
      <c r="L35" s="14" t="s">
        <v>13</v>
      </c>
      <c r="M35" s="13" t="e">
        <f>M34-H34-L39</f>
        <v>#DIV/0!</v>
      </c>
    </row>
    <row r="36" spans="2:13" x14ac:dyDescent="0.3">
      <c r="G36" s="15"/>
      <c r="M36" s="6"/>
    </row>
    <row r="38" spans="2:13" x14ac:dyDescent="0.3">
      <c r="B38" s="21"/>
      <c r="C38" s="21"/>
      <c r="D38" s="21"/>
      <c r="I38" s="28" t="s">
        <v>12</v>
      </c>
      <c r="J38" s="28"/>
      <c r="K38" s="28"/>
      <c r="L38" s="10">
        <v>22000</v>
      </c>
      <c r="M38" s="6"/>
    </row>
    <row r="39" spans="2:13" x14ac:dyDescent="0.3">
      <c r="I39" s="29" t="s">
        <v>21</v>
      </c>
      <c r="J39" s="29"/>
      <c r="K39" s="29"/>
      <c r="L39" s="12">
        <f>L38*7</f>
        <v>154000</v>
      </c>
    </row>
    <row r="42" spans="2:13" ht="57.6" x14ac:dyDescent="0.3">
      <c r="B42" s="11" t="s">
        <v>0</v>
      </c>
      <c r="C42" s="11" t="s">
        <v>14</v>
      </c>
      <c r="D42" s="11"/>
      <c r="E42" s="11" t="s">
        <v>1</v>
      </c>
      <c r="F42" s="11" t="s">
        <v>2</v>
      </c>
      <c r="G42" s="11" t="s">
        <v>5</v>
      </c>
      <c r="H42" s="11" t="s">
        <v>7</v>
      </c>
      <c r="I42" s="11" t="s">
        <v>4</v>
      </c>
      <c r="J42" s="11" t="s">
        <v>8</v>
      </c>
      <c r="K42" s="11" t="s">
        <v>9</v>
      </c>
      <c r="L42" s="11" t="s">
        <v>10</v>
      </c>
      <c r="M42" s="11" t="s">
        <v>11</v>
      </c>
    </row>
    <row r="43" spans="2:13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6" t="e">
        <f>L56/F51</f>
        <v>#DIV/0!</v>
      </c>
      <c r="L43" s="11"/>
      <c r="M43" s="11"/>
    </row>
    <row r="44" spans="2:13" x14ac:dyDescent="0.3">
      <c r="B44" s="23" t="s">
        <v>30</v>
      </c>
      <c r="C44" s="22">
        <v>0.38500000000000001</v>
      </c>
      <c r="D44" s="25">
        <f>C44*F44</f>
        <v>0</v>
      </c>
      <c r="E44" s="19" t="s">
        <v>3</v>
      </c>
      <c r="F44" s="19">
        <v>0</v>
      </c>
      <c r="G44" s="20">
        <v>0</v>
      </c>
      <c r="H44" s="20">
        <f t="shared" ref="H44:H49" si="12">F44*G44</f>
        <v>0</v>
      </c>
      <c r="I44" s="26">
        <v>0.03</v>
      </c>
      <c r="J44" s="20">
        <f t="shared" ref="J44:J49" si="13">G44+(G44*I44)</f>
        <v>0</v>
      </c>
      <c r="K44" s="17" t="e">
        <f>J44+$K$43</f>
        <v>#DIV/0!</v>
      </c>
      <c r="L44" s="20">
        <f t="shared" ref="L44:L49" si="14">F44*J44</f>
        <v>0</v>
      </c>
      <c r="M44" s="20" t="e">
        <f t="shared" ref="M44:M49" si="15">F44*K44</f>
        <v>#DIV/0!</v>
      </c>
    </row>
    <row r="45" spans="2:13" x14ac:dyDescent="0.3">
      <c r="B45" s="23" t="s">
        <v>31</v>
      </c>
      <c r="C45" s="22">
        <v>0.55000000000000004</v>
      </c>
      <c r="D45" s="25">
        <f t="shared" ref="D45:D49" si="16">C45*F45</f>
        <v>0</v>
      </c>
      <c r="E45" s="19" t="s">
        <v>3</v>
      </c>
      <c r="F45" s="19">
        <v>0</v>
      </c>
      <c r="G45" s="20">
        <v>0</v>
      </c>
      <c r="H45" s="20">
        <f t="shared" si="12"/>
        <v>0</v>
      </c>
      <c r="I45" s="26">
        <v>0.03</v>
      </c>
      <c r="J45" s="20">
        <f t="shared" si="13"/>
        <v>0</v>
      </c>
      <c r="K45" s="17" t="e">
        <f t="shared" ref="K45:K48" si="17">J45+$K$43</f>
        <v>#DIV/0!</v>
      </c>
      <c r="L45" s="20">
        <f t="shared" si="14"/>
        <v>0</v>
      </c>
      <c r="M45" s="20" t="e">
        <f t="shared" si="15"/>
        <v>#DIV/0!</v>
      </c>
    </row>
    <row r="46" spans="2:13" x14ac:dyDescent="0.3">
      <c r="B46" s="23" t="s">
        <v>32</v>
      </c>
      <c r="C46" s="22">
        <v>0.18</v>
      </c>
      <c r="D46" s="25">
        <f t="shared" si="16"/>
        <v>0</v>
      </c>
      <c r="E46" s="19" t="s">
        <v>3</v>
      </c>
      <c r="F46" s="19">
        <v>0</v>
      </c>
      <c r="G46" s="20">
        <v>0</v>
      </c>
      <c r="H46" s="20">
        <f t="shared" si="12"/>
        <v>0</v>
      </c>
      <c r="I46" s="26">
        <v>0.03</v>
      </c>
      <c r="J46" s="20">
        <f t="shared" si="13"/>
        <v>0</v>
      </c>
      <c r="K46" s="17" t="e">
        <f>J46+$K$43</f>
        <v>#DIV/0!</v>
      </c>
      <c r="L46" s="20">
        <f t="shared" si="14"/>
        <v>0</v>
      </c>
      <c r="M46" s="20" t="e">
        <f t="shared" si="15"/>
        <v>#DIV/0!</v>
      </c>
    </row>
    <row r="47" spans="2:13" x14ac:dyDescent="0.3">
      <c r="B47" s="23" t="s">
        <v>33</v>
      </c>
      <c r="C47" s="22">
        <v>4.4999999999999998E-2</v>
      </c>
      <c r="D47" s="25">
        <f t="shared" si="16"/>
        <v>0</v>
      </c>
      <c r="E47" s="19" t="s">
        <v>3</v>
      </c>
      <c r="F47" s="19">
        <v>0</v>
      </c>
      <c r="G47" s="20">
        <v>0</v>
      </c>
      <c r="H47" s="20">
        <f t="shared" si="12"/>
        <v>0</v>
      </c>
      <c r="I47" s="26">
        <v>0.03</v>
      </c>
      <c r="J47" s="20">
        <f t="shared" si="13"/>
        <v>0</v>
      </c>
      <c r="K47" s="17" t="e">
        <f t="shared" si="17"/>
        <v>#DIV/0!</v>
      </c>
      <c r="L47" s="20">
        <f t="shared" si="14"/>
        <v>0</v>
      </c>
      <c r="M47" s="20" t="e">
        <f t="shared" si="15"/>
        <v>#DIV/0!</v>
      </c>
    </row>
    <row r="48" spans="2:13" x14ac:dyDescent="0.3">
      <c r="B48" s="23" t="s">
        <v>34</v>
      </c>
      <c r="C48" s="22">
        <v>0.45</v>
      </c>
      <c r="D48" s="25">
        <f t="shared" si="16"/>
        <v>0</v>
      </c>
      <c r="E48" s="19" t="s">
        <v>3</v>
      </c>
      <c r="F48" s="19">
        <v>0</v>
      </c>
      <c r="G48" s="20">
        <v>0</v>
      </c>
      <c r="H48" s="20">
        <f t="shared" si="12"/>
        <v>0</v>
      </c>
      <c r="I48" s="26">
        <v>0.03</v>
      </c>
      <c r="J48" s="20">
        <f t="shared" si="13"/>
        <v>0</v>
      </c>
      <c r="K48" s="17" t="e">
        <f t="shared" si="17"/>
        <v>#DIV/0!</v>
      </c>
      <c r="L48" s="20">
        <f t="shared" si="14"/>
        <v>0</v>
      </c>
      <c r="M48" s="20" t="e">
        <f t="shared" si="15"/>
        <v>#DIV/0!</v>
      </c>
    </row>
    <row r="49" spans="2:13" x14ac:dyDescent="0.3">
      <c r="B49" s="23" t="s">
        <v>35</v>
      </c>
      <c r="C49" s="22">
        <v>0.3</v>
      </c>
      <c r="D49" s="25">
        <f t="shared" si="16"/>
        <v>0</v>
      </c>
      <c r="E49" s="19" t="s">
        <v>3</v>
      </c>
      <c r="F49" s="19">
        <v>0</v>
      </c>
      <c r="G49" s="20">
        <v>0</v>
      </c>
      <c r="H49" s="20">
        <f t="shared" si="12"/>
        <v>0</v>
      </c>
      <c r="I49" s="26">
        <v>0.03</v>
      </c>
      <c r="J49" s="20">
        <f t="shared" si="13"/>
        <v>0</v>
      </c>
      <c r="K49" s="17" t="e">
        <f>J49+$K$43</f>
        <v>#DIV/0!</v>
      </c>
      <c r="L49" s="20">
        <f t="shared" si="14"/>
        <v>0</v>
      </c>
      <c r="M49" s="20" t="e">
        <f t="shared" si="15"/>
        <v>#DIV/0!</v>
      </c>
    </row>
    <row r="50" spans="2:13" x14ac:dyDescent="0.3">
      <c r="B50" s="23"/>
      <c r="C50" s="22"/>
      <c r="D50" s="22"/>
      <c r="E50" s="19"/>
      <c r="F50" s="19"/>
      <c r="G50" s="20"/>
      <c r="H50" s="20"/>
      <c r="I50" s="26"/>
      <c r="J50" s="20"/>
      <c r="K50" s="17"/>
      <c r="L50" s="20"/>
      <c r="M50" s="20"/>
    </row>
    <row r="51" spans="2:13" ht="15.6" x14ac:dyDescent="0.3">
      <c r="B51" s="3" t="s">
        <v>6</v>
      </c>
      <c r="C51" s="24">
        <f>SUM(D44:D50)</f>
        <v>0</v>
      </c>
      <c r="D51" s="3"/>
      <c r="E51" s="2"/>
      <c r="F51" s="4">
        <f>SUM(F44:F50)</f>
        <v>0</v>
      </c>
      <c r="G51" s="5"/>
      <c r="H51" s="5">
        <f>SUM(H44:H50)</f>
        <v>0</v>
      </c>
      <c r="I51" s="5"/>
      <c r="J51" s="5"/>
      <c r="K51" s="5"/>
      <c r="L51" s="5"/>
      <c r="M51" s="5" t="e">
        <f>SUM(M44:M50)</f>
        <v>#DIV/0!</v>
      </c>
    </row>
    <row r="52" spans="2:13" x14ac:dyDescent="0.3">
      <c r="L52" s="14" t="s">
        <v>13</v>
      </c>
      <c r="M52" s="13" t="e">
        <f>M51-H51-L56</f>
        <v>#DIV/0!</v>
      </c>
    </row>
    <row r="53" spans="2:13" x14ac:dyDescent="0.3">
      <c r="G53" s="15"/>
      <c r="M53" s="6"/>
    </row>
    <row r="55" spans="2:13" x14ac:dyDescent="0.3">
      <c r="B55" s="21"/>
      <c r="C55" s="21"/>
      <c r="D55" s="21"/>
      <c r="I55" s="28" t="s">
        <v>12</v>
      </c>
      <c r="J55" s="28"/>
      <c r="K55" s="28"/>
      <c r="L55" s="1">
        <v>13500</v>
      </c>
      <c r="M55" s="6"/>
    </row>
    <row r="56" spans="2:13" x14ac:dyDescent="0.3">
      <c r="I56" s="29" t="s">
        <v>36</v>
      </c>
      <c r="J56" s="29"/>
      <c r="K56" s="29"/>
      <c r="L56" s="12">
        <f>L55*1</f>
        <v>13500</v>
      </c>
    </row>
    <row r="60" spans="2:13" ht="57.6" x14ac:dyDescent="0.3">
      <c r="B60" s="11" t="s">
        <v>0</v>
      </c>
      <c r="C60" s="11" t="s">
        <v>14</v>
      </c>
      <c r="D60" s="11"/>
      <c r="E60" s="11" t="s">
        <v>1</v>
      </c>
      <c r="F60" s="11" t="s">
        <v>2</v>
      </c>
      <c r="G60" s="11" t="s">
        <v>5</v>
      </c>
      <c r="H60" s="11" t="s">
        <v>7</v>
      </c>
      <c r="I60" s="11" t="s">
        <v>4</v>
      </c>
      <c r="J60" s="11" t="s">
        <v>8</v>
      </c>
      <c r="K60" s="11" t="s">
        <v>9</v>
      </c>
      <c r="L60" s="11" t="s">
        <v>10</v>
      </c>
      <c r="M60" s="11" t="s">
        <v>11</v>
      </c>
    </row>
    <row r="61" spans="2:13" x14ac:dyDescent="0.3">
      <c r="B61" s="11"/>
      <c r="C61" s="11"/>
      <c r="D61" s="11"/>
      <c r="E61" s="11"/>
      <c r="F61" s="11"/>
      <c r="G61" s="11"/>
      <c r="H61" s="11"/>
      <c r="I61" s="11"/>
      <c r="J61" s="11"/>
      <c r="K61" s="16" t="e">
        <f>L71/F66</f>
        <v>#DIV/0!</v>
      </c>
      <c r="L61" s="11"/>
      <c r="M61" s="11"/>
    </row>
    <row r="62" spans="2:13" x14ac:dyDescent="0.3">
      <c r="B62" s="23" t="s">
        <v>37</v>
      </c>
      <c r="C62" s="22">
        <v>8.7999999999999995E-2</v>
      </c>
      <c r="D62" s="25">
        <f>C62*F62</f>
        <v>0</v>
      </c>
      <c r="E62" s="19" t="s">
        <v>3</v>
      </c>
      <c r="F62" s="19">
        <v>0</v>
      </c>
      <c r="G62" s="20">
        <v>0</v>
      </c>
      <c r="H62" s="20">
        <f t="shared" ref="H62:H64" si="18">F62*G62</f>
        <v>0</v>
      </c>
      <c r="I62" s="26">
        <v>0.03</v>
      </c>
      <c r="J62" s="20">
        <f t="shared" ref="J62:J64" si="19">G62+(G62*I62)</f>
        <v>0</v>
      </c>
      <c r="K62" s="17" t="e">
        <f>J62+$K$61</f>
        <v>#DIV/0!</v>
      </c>
      <c r="L62" s="20">
        <f t="shared" ref="L62:L64" si="20">F62*J62</f>
        <v>0</v>
      </c>
      <c r="M62" s="20" t="e">
        <f t="shared" ref="M62:M64" si="21">F62*K62</f>
        <v>#DIV/0!</v>
      </c>
    </row>
    <row r="63" spans="2:13" x14ac:dyDescent="0.3">
      <c r="B63" s="23" t="s">
        <v>38</v>
      </c>
      <c r="C63" s="22">
        <v>7.3999999999999996E-2</v>
      </c>
      <c r="D63" s="25">
        <f t="shared" ref="D63:D64" si="22">C63*F63</f>
        <v>0</v>
      </c>
      <c r="E63" s="19" t="s">
        <v>3</v>
      </c>
      <c r="F63" s="19">
        <v>0</v>
      </c>
      <c r="G63" s="20">
        <v>0</v>
      </c>
      <c r="H63" s="20">
        <f t="shared" si="18"/>
        <v>0</v>
      </c>
      <c r="I63" s="26">
        <v>0.03</v>
      </c>
      <c r="J63" s="20">
        <f t="shared" si="19"/>
        <v>0</v>
      </c>
      <c r="K63" s="17" t="e">
        <f t="shared" ref="K63" si="23">J63+$K$61</f>
        <v>#DIV/0!</v>
      </c>
      <c r="L63" s="20">
        <f t="shared" si="20"/>
        <v>0</v>
      </c>
      <c r="M63" s="20" t="e">
        <f t="shared" si="21"/>
        <v>#DIV/0!</v>
      </c>
    </row>
    <row r="64" spans="2:13" x14ac:dyDescent="0.3">
      <c r="B64" s="23" t="s">
        <v>39</v>
      </c>
      <c r="C64" s="22">
        <v>0.35499999999999998</v>
      </c>
      <c r="D64" s="25">
        <f t="shared" si="22"/>
        <v>0</v>
      </c>
      <c r="E64" s="19" t="s">
        <v>3</v>
      </c>
      <c r="F64" s="19">
        <v>0</v>
      </c>
      <c r="G64" s="20">
        <v>0</v>
      </c>
      <c r="H64" s="20">
        <f t="shared" si="18"/>
        <v>0</v>
      </c>
      <c r="I64" s="26">
        <v>0.03</v>
      </c>
      <c r="J64" s="20">
        <f t="shared" si="19"/>
        <v>0</v>
      </c>
      <c r="K64" s="17" t="e">
        <f>J64+$K$61</f>
        <v>#DIV/0!</v>
      </c>
      <c r="L64" s="20">
        <f t="shared" si="20"/>
        <v>0</v>
      </c>
      <c r="M64" s="20" t="e">
        <f t="shared" si="21"/>
        <v>#DIV/0!</v>
      </c>
    </row>
    <row r="65" spans="2:13" x14ac:dyDescent="0.3">
      <c r="B65" s="23"/>
      <c r="C65" s="22"/>
      <c r="D65" s="22"/>
      <c r="E65" s="19"/>
      <c r="F65" s="19"/>
      <c r="G65" s="20"/>
      <c r="H65" s="20"/>
      <c r="I65" s="26"/>
      <c r="J65" s="20"/>
      <c r="K65" s="17"/>
      <c r="L65" s="20"/>
      <c r="M65" s="20"/>
    </row>
    <row r="66" spans="2:13" ht="15.6" x14ac:dyDescent="0.3">
      <c r="B66" s="3" t="s">
        <v>6</v>
      </c>
      <c r="C66" s="24">
        <f>SUM(D62:D65)</f>
        <v>0</v>
      </c>
      <c r="D66" s="3"/>
      <c r="E66" s="2"/>
      <c r="F66" s="4">
        <f>SUM(F62:F65)</f>
        <v>0</v>
      </c>
      <c r="G66" s="5"/>
      <c r="H66" s="5">
        <f>SUM(H62:H65)</f>
        <v>0</v>
      </c>
      <c r="I66" s="5"/>
      <c r="J66" s="5"/>
      <c r="K66" s="5"/>
      <c r="L66" s="5"/>
      <c r="M66" s="5" t="e">
        <f>SUM(M62:M65)</f>
        <v>#DIV/0!</v>
      </c>
    </row>
    <row r="67" spans="2:13" x14ac:dyDescent="0.3">
      <c r="L67" s="14" t="s">
        <v>13</v>
      </c>
      <c r="M67" s="13" t="e">
        <f>M66-H66-L71</f>
        <v>#DIV/0!</v>
      </c>
    </row>
    <row r="68" spans="2:13" x14ac:dyDescent="0.3">
      <c r="G68" s="15"/>
      <c r="M68" s="6"/>
    </row>
    <row r="70" spans="2:13" x14ac:dyDescent="0.3">
      <c r="B70" s="21"/>
      <c r="C70" s="21"/>
      <c r="D70" s="21"/>
      <c r="I70" s="28" t="s">
        <v>12</v>
      </c>
      <c r="J70" s="28"/>
      <c r="K70" s="28"/>
      <c r="L70" s="1">
        <v>13500</v>
      </c>
      <c r="M70" s="6"/>
    </row>
    <row r="71" spans="2:13" x14ac:dyDescent="0.3">
      <c r="I71" s="29" t="s">
        <v>36</v>
      </c>
      <c r="J71" s="29"/>
      <c r="K71" s="29"/>
      <c r="L71" s="12">
        <f>L70*1</f>
        <v>13500</v>
      </c>
    </row>
    <row r="75" spans="2:13" ht="57.6" x14ac:dyDescent="0.3">
      <c r="B75" s="11" t="s">
        <v>0</v>
      </c>
      <c r="C75" s="11" t="s">
        <v>14</v>
      </c>
      <c r="D75" s="11"/>
      <c r="E75" s="11" t="s">
        <v>1</v>
      </c>
      <c r="F75" s="11" t="s">
        <v>2</v>
      </c>
      <c r="G75" s="11" t="s">
        <v>5</v>
      </c>
      <c r="H75" s="11" t="s">
        <v>7</v>
      </c>
      <c r="I75" s="11" t="s">
        <v>4</v>
      </c>
      <c r="J75" s="11" t="s">
        <v>8</v>
      </c>
      <c r="K75" s="11" t="s">
        <v>9</v>
      </c>
      <c r="L75" s="11" t="s">
        <v>10</v>
      </c>
      <c r="M75" s="11" t="s">
        <v>11</v>
      </c>
    </row>
    <row r="76" spans="2:13" x14ac:dyDescent="0.3">
      <c r="B76" s="11"/>
      <c r="C76" s="11"/>
      <c r="D76" s="11"/>
      <c r="E76" s="11"/>
      <c r="F76" s="11"/>
      <c r="G76" s="11"/>
      <c r="H76" s="11"/>
      <c r="I76" s="11"/>
      <c r="J76" s="11"/>
      <c r="K76" s="16" t="e">
        <f>L89/F84</f>
        <v>#DIV/0!</v>
      </c>
      <c r="L76" s="11"/>
      <c r="M76" s="11"/>
    </row>
    <row r="77" spans="2:13" x14ac:dyDescent="0.3">
      <c r="B77" s="23" t="s">
        <v>40</v>
      </c>
      <c r="C77" s="22">
        <v>1.8</v>
      </c>
      <c r="D77" s="25">
        <f>C77*F77</f>
        <v>0</v>
      </c>
      <c r="E77" s="19" t="s">
        <v>3</v>
      </c>
      <c r="F77" s="19">
        <v>0</v>
      </c>
      <c r="G77" s="20">
        <v>0</v>
      </c>
      <c r="H77" s="20">
        <f t="shared" ref="H77:H82" si="24">F77*G77</f>
        <v>0</v>
      </c>
      <c r="I77" s="26">
        <v>0.03</v>
      </c>
      <c r="J77" s="20">
        <f t="shared" ref="J77:J82" si="25">G77+(G77*I77)</f>
        <v>0</v>
      </c>
      <c r="K77" s="17" t="e">
        <f t="shared" ref="K77:K82" si="26">J77+$K$76</f>
        <v>#DIV/0!</v>
      </c>
      <c r="L77" s="20">
        <f t="shared" ref="L77:L82" si="27">F77*J77</f>
        <v>0</v>
      </c>
      <c r="M77" s="20" t="e">
        <f t="shared" ref="M77:M82" si="28">F77*K77</f>
        <v>#DIV/0!</v>
      </c>
    </row>
    <row r="78" spans="2:13" x14ac:dyDescent="0.3">
      <c r="B78" s="23" t="s">
        <v>41</v>
      </c>
      <c r="C78" s="22">
        <v>0.45</v>
      </c>
      <c r="D78" s="25">
        <f t="shared" ref="D78:D82" si="29">C78*F78</f>
        <v>0</v>
      </c>
      <c r="E78" s="19" t="s">
        <v>3</v>
      </c>
      <c r="F78" s="19">
        <v>0</v>
      </c>
      <c r="G78" s="20">
        <v>0</v>
      </c>
      <c r="H78" s="20">
        <f t="shared" si="24"/>
        <v>0</v>
      </c>
      <c r="I78" s="26">
        <v>0.03</v>
      </c>
      <c r="J78" s="20">
        <f t="shared" si="25"/>
        <v>0</v>
      </c>
      <c r="K78" s="17" t="e">
        <f t="shared" si="26"/>
        <v>#DIV/0!</v>
      </c>
      <c r="L78" s="20">
        <f t="shared" si="27"/>
        <v>0</v>
      </c>
      <c r="M78" s="20" t="e">
        <f t="shared" si="28"/>
        <v>#DIV/0!</v>
      </c>
    </row>
    <row r="79" spans="2:13" x14ac:dyDescent="0.3">
      <c r="B79" s="23" t="s">
        <v>42</v>
      </c>
      <c r="C79" s="22">
        <v>0.87</v>
      </c>
      <c r="D79" s="25">
        <f t="shared" si="29"/>
        <v>0</v>
      </c>
      <c r="E79" s="19" t="s">
        <v>3</v>
      </c>
      <c r="F79" s="19">
        <v>0</v>
      </c>
      <c r="G79" s="20">
        <v>0</v>
      </c>
      <c r="H79" s="20">
        <f t="shared" si="24"/>
        <v>0</v>
      </c>
      <c r="I79" s="26">
        <v>0.03</v>
      </c>
      <c r="J79" s="20">
        <f t="shared" si="25"/>
        <v>0</v>
      </c>
      <c r="K79" s="17" t="e">
        <f t="shared" si="26"/>
        <v>#DIV/0!</v>
      </c>
      <c r="L79" s="20">
        <f t="shared" si="27"/>
        <v>0</v>
      </c>
      <c r="M79" s="20" t="e">
        <f t="shared" si="28"/>
        <v>#DIV/0!</v>
      </c>
    </row>
    <row r="80" spans="2:13" x14ac:dyDescent="0.3">
      <c r="B80" s="23" t="s">
        <v>43</v>
      </c>
      <c r="C80" s="22">
        <v>4.4999999999999998E-2</v>
      </c>
      <c r="D80" s="25">
        <f t="shared" si="29"/>
        <v>0</v>
      </c>
      <c r="E80" s="19" t="s">
        <v>3</v>
      </c>
      <c r="F80" s="19">
        <v>0</v>
      </c>
      <c r="G80" s="20">
        <v>0</v>
      </c>
      <c r="H80" s="20">
        <f t="shared" si="24"/>
        <v>0</v>
      </c>
      <c r="I80" s="26">
        <v>0.03</v>
      </c>
      <c r="J80" s="20">
        <f t="shared" si="25"/>
        <v>0</v>
      </c>
      <c r="K80" s="17" t="e">
        <f t="shared" si="26"/>
        <v>#DIV/0!</v>
      </c>
      <c r="L80" s="20">
        <f t="shared" si="27"/>
        <v>0</v>
      </c>
      <c r="M80" s="20" t="e">
        <f t="shared" si="28"/>
        <v>#DIV/0!</v>
      </c>
    </row>
    <row r="81" spans="2:13" x14ac:dyDescent="0.3">
      <c r="B81" s="23" t="s">
        <v>44</v>
      </c>
      <c r="C81" s="22">
        <v>1.4E-2</v>
      </c>
      <c r="D81" s="25">
        <f t="shared" si="29"/>
        <v>0</v>
      </c>
      <c r="E81" s="19" t="s">
        <v>3</v>
      </c>
      <c r="F81" s="19">
        <v>0</v>
      </c>
      <c r="G81" s="20">
        <v>0</v>
      </c>
      <c r="H81" s="20">
        <f t="shared" si="24"/>
        <v>0</v>
      </c>
      <c r="I81" s="26">
        <v>0.03</v>
      </c>
      <c r="J81" s="20">
        <f t="shared" si="25"/>
        <v>0</v>
      </c>
      <c r="K81" s="17" t="e">
        <f t="shared" si="26"/>
        <v>#DIV/0!</v>
      </c>
      <c r="L81" s="20">
        <f t="shared" si="27"/>
        <v>0</v>
      </c>
      <c r="M81" s="20" t="e">
        <f t="shared" si="28"/>
        <v>#DIV/0!</v>
      </c>
    </row>
    <row r="82" spans="2:13" x14ac:dyDescent="0.3">
      <c r="B82" s="23" t="s">
        <v>45</v>
      </c>
      <c r="C82" s="22">
        <v>0.01</v>
      </c>
      <c r="D82" s="25">
        <f t="shared" si="29"/>
        <v>0</v>
      </c>
      <c r="E82" s="19" t="s">
        <v>3</v>
      </c>
      <c r="F82" s="19">
        <v>0</v>
      </c>
      <c r="G82" s="20">
        <v>0</v>
      </c>
      <c r="H82" s="20">
        <f t="shared" si="24"/>
        <v>0</v>
      </c>
      <c r="I82" s="26">
        <v>0.03</v>
      </c>
      <c r="J82" s="20">
        <f t="shared" si="25"/>
        <v>0</v>
      </c>
      <c r="K82" s="17" t="e">
        <f t="shared" si="26"/>
        <v>#DIV/0!</v>
      </c>
      <c r="L82" s="20">
        <f t="shared" si="27"/>
        <v>0</v>
      </c>
      <c r="M82" s="20" t="e">
        <f t="shared" si="28"/>
        <v>#DIV/0!</v>
      </c>
    </row>
    <row r="83" spans="2:13" x14ac:dyDescent="0.3">
      <c r="B83" s="23"/>
      <c r="C83" s="22"/>
      <c r="D83" s="22"/>
      <c r="E83" s="19"/>
      <c r="F83" s="19"/>
      <c r="G83" s="20"/>
      <c r="H83" s="20"/>
      <c r="I83" s="26"/>
      <c r="J83" s="20"/>
      <c r="K83" s="17"/>
      <c r="L83" s="20"/>
      <c r="M83" s="20"/>
    </row>
    <row r="84" spans="2:13" ht="15.6" x14ac:dyDescent="0.3">
      <c r="B84" s="3" t="s">
        <v>6</v>
      </c>
      <c r="C84" s="24">
        <f>SUM(D77:D83)</f>
        <v>0</v>
      </c>
      <c r="D84" s="3"/>
      <c r="E84" s="2"/>
      <c r="F84" s="4">
        <f>SUM(F77:F83)</f>
        <v>0</v>
      </c>
      <c r="G84" s="5"/>
      <c r="H84" s="5">
        <f>SUM(H77:H83)</f>
        <v>0</v>
      </c>
      <c r="I84" s="5"/>
      <c r="J84" s="5"/>
      <c r="K84" s="5"/>
      <c r="L84" s="5"/>
      <c r="M84" s="5" t="e">
        <f>SUM(M77:M83)</f>
        <v>#DIV/0!</v>
      </c>
    </row>
    <row r="85" spans="2:13" x14ac:dyDescent="0.3">
      <c r="L85" s="14" t="s">
        <v>13</v>
      </c>
      <c r="M85" s="13" t="e">
        <f>M84-H84-L89</f>
        <v>#DIV/0!</v>
      </c>
    </row>
    <row r="86" spans="2:13" x14ac:dyDescent="0.3">
      <c r="G86" s="15"/>
      <c r="H86" s="15"/>
      <c r="M86" s="6"/>
    </row>
    <row r="88" spans="2:13" x14ac:dyDescent="0.3">
      <c r="B88" s="21"/>
      <c r="C88" s="21"/>
      <c r="D88" s="21"/>
      <c r="G88" s="15"/>
      <c r="I88" s="28" t="s">
        <v>12</v>
      </c>
      <c r="J88" s="28"/>
      <c r="K88" s="28"/>
      <c r="L88" s="1">
        <v>58500</v>
      </c>
      <c r="M88" s="6"/>
    </row>
    <row r="89" spans="2:13" x14ac:dyDescent="0.3">
      <c r="I89" s="29" t="s">
        <v>46</v>
      </c>
      <c r="J89" s="29"/>
      <c r="K89" s="29"/>
      <c r="L89" s="12">
        <f>L88*6</f>
        <v>351000</v>
      </c>
    </row>
    <row r="90" spans="2:13" x14ac:dyDescent="0.3">
      <c r="G90" t="s">
        <v>47</v>
      </c>
      <c r="M90" s="6"/>
    </row>
  </sheetData>
  <mergeCells count="10">
    <mergeCell ref="I88:K88"/>
    <mergeCell ref="I89:K89"/>
    <mergeCell ref="I20:K20"/>
    <mergeCell ref="I21:K21"/>
    <mergeCell ref="I70:K70"/>
    <mergeCell ref="I71:K71"/>
    <mergeCell ref="I38:K38"/>
    <mergeCell ref="I39:K39"/>
    <mergeCell ref="I55:K55"/>
    <mergeCell ref="I56:K56"/>
  </mergeCell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2025-06-16T08:47:14Z</cp:lastPrinted>
  <dcterms:created xsi:type="dcterms:W3CDTF">2015-06-05T18:19:34Z</dcterms:created>
  <dcterms:modified xsi:type="dcterms:W3CDTF">2026-04-27T07:24:54Z</dcterms:modified>
</cp:coreProperties>
</file>